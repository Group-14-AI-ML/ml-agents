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ining_Runs" sheetId="1" state="visible" r:id="rId2"/>
    <sheet name="Settings" sheetId="2" state="visible" r:id="rId3"/>
    <sheet name="Prompt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<sst xmlns="http://schemas.openxmlformats.org/spreadsheetml/2006/main" count="20" uniqueCount="20">
  <si>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run_id</t>
  </si>
  <si>
    <t xml:space="preserve">environment_name</t>
  </si>
  <si>
    <t xml:space="preserve">algorithm</t>
  </si>
  <si>
    <t xml:space="preserve">learning_rate</t>
  </si>
  <si>
    <t xml:space="preserve">batch_size</t>
  </si>
  <si>
    <t xml:space="preserve">buffer_size</t>
  </si>
  <si>
    <t xml:space="preserve">max_steps</t>
  </si>
  <si>
    <t xml:space="preserve">random_seed</t>
  </si>
  <si>
    <t xml:space="preserve">cpu_model</t>
  </si>
  <si>
    <t xml:space="preserve">has_gpu</t>
  </si>
  <si>
    <t xml:space="preserve">ram_gb</t>
  </si>
  <si>
    <t xml:space="preserve">PUSHBLOCK CONFIGURATOR CONTROLS</t>
  </si>
  <si>
    <t xml:space="preserve">Configure your experiment parameters here. The table in 'Training_Runs' updates automatically and is clean for direct CSV export.</t>
  </si>
  <si>
    <t xml:space="preserve">RUN CONTROLS</t>
  </si>
  <si>
    <t xml:space="preserve">Number of Training Runs (N)</t>
  </si>
  <si>
    <t xml:space="preserve">Total number of active training rows in the data sheet (1 to 100)</t>
  </si>
  <si>
    <t xml:space="preserve">Generation Mode</t>
  </si>
  <si>
    <t xml:space="preserve">Random</t>
  </si>
  <si>
    <t xml:space="preserve">Choose 'Random' (auto-samples hyperparams) or 'Manual' (sets baseline values)</t>
  </si>
  <si>
    <t xml:space="preserve">### SYSTEM ROLE &amp; CONTEXT
- **Role:** You are an expert Python data engineer and spreadsheet automation specialist proficient with `openpyxl`.
- **Project Context:** University ML-Agents benchmarking project (PushBlock environment, PPO algorithm). We need an interactive Excel configurator (`PushBlock_Training_Configurator_Secure_EN.xlsx`) that allows users to configure and auto-generate headless reinforcement learning experiment runs before feeding them into an automated Python execution pipeline.
---
### REQUIREMENTS ANALYSIS
1. **Interactive Control Dashboard (Header / Row Controls):**
   - Must allow the user to select the total number of training runs $N$ (integer between 1 and 100).
   - Must allow switching between two generation modes:
     * `Random`: Automatically samples valid candidate hyperparameter combinations using spreadsheet formulas.
     * `Manual`: Populates baseline defaults and lets the user choose values per row via drop-down menus.
   - Clean UI: Exclude unnecessary metadata fields (e.g., tester initials, output paths). Keep only Run Count ($N$) and Generation Mode.
2. **Schema &amp; Dynamic Activation (Rows 1 to 100):**
   - The table must feature the standard 11 configuration columns:
     `run_id`, `environment_name`, `algorithm`, `learning_rate`, `batch_size`, `buffer_size`, `max_steps`, `random_seed`, `cpu_model`, `has_gpu`, `ram_gb`.
   - Dynamic Display Rule: Rows $r \le N$ are active and populated; rows $r &gt; N$ must evaluate to empty strings (`""`) across all columns to keep unused rows completely blank.
3. **Strict Validation &amp; Security Constraints (Fail-Safe &amp; Anti-Tampering):**
   - All validation rules must use Excel's strict blocking style (`errorStyle="stop"` / `showErrorMessage=True`) with clear, descriptive English error messages.
   - **`run_id` (Column B):** Must remain strictly EMPTY. Validated via text length equal to 0. (IDs are generated dynamically at runtime by the execution script as `&lt;prefix&gt;-&lt;timestamp&gt;`).
   - **`environment_name` (Column C):** Immutable. Only permitted value is `"PushBlock"`.
   - **`algorithm` (Column D):** Immutable. Only permitted value is `"PPO"`.
   - **`learning_rate` (Column E):** Strict decimal validation between `0.0001` and `0.001`.
   - **`batch_size` (Column F):** Strict list validation allowing only `64, 128, 256`.
   - **`buffer_size` (Column G):** Strict list validation allowing only `1024, 2048, 4096`.
   - **`max_steps` (Column H):** Fixed integer cap locked to `500000`.
   - **`random_seed` (Column I):** Strict list validation allowing only `42, 101, 2024`.
   - **Hardware Columns (`cpu_model`, `has_gpu`, `ram_gb` in Cols J, K, L):** Must remain strictly EMPTY prior to execution. Validated via text length equal to 0 to prevent manual tampering. Hardware is detected and written automatically by the telemetry module at runtime.
---
### EXPLICIT IMPLEMENTATION INSTRUCTIONS
Generate a standalone Python script using `openpyxl` that builds the `.xlsx` workbook from scratch:
1. **Workbook &amp; Sheet Setup:**
   - Single worksheet titled `"Training_Configurations"`.
   - Enable gridlines: `ws.views.sheetView[0].showGridLines = True`.
   - Styling: Use a cohesive professional palette:
     * Dark Navy (`#1F4E78`) for primary banners and title.
     * Slate Blue (`#2F5597`) for table headers.
     * Soft Blue fill (`#D9E1F2`) for user-editable input cells ($C6, $C7).
     * Alternating zebra striping (`#F9FAFB`) on even active rows.
     * Thin light-gray borders (`#D9D9D9`) on all active cells.
2. **Top Control Panel (Rows 5 to 7):**
   - Row 5: Merged banner `B5:E5` titled `"1. RUN CONTROLS &amp; GENERATION MODE"`.
   - Row 6: Label `"Number of Training Runs (N)"` in B6, editable value `20` in C6, helper description in `D6:G6`.
     * Apply integer DataValidation between 1 and 100 with error title `"Invalid Value"`.
   - Row 7: Label `"Generation Mode"` in B7, editable value `"Random"` in C7, helper description in `D7:G7`.
     * Apply list DataValidation `'"Random, Manual"'` with error title `"Invalid Mode"`.
3. **Table Header &amp; Column Dimensions (Row 10 to 11):**
   - Row 10: Merged banner `B10:L10` titled `"2. TRAINING RUN CONFIGURATION MATRIX (11 COLUMNS)"`.
   - Row 11: 11 column headers with bold white text on Slate Blue fill.
   - Column widths:
     `A: 4, B: 14, C: 18, D: 12, E: 15, F: 13, G: 14, H: 13, I: 14, J: 20, K: 12, L: 12`.
4. **Formulas for Rows 12 to 111 (Indices 1 to 100):**
   - Col B (`run_id`): `""` (Always empty).
   - Col C (`environment_name`): `=IF(row_idx&lt;=$C$6, "PushBlock", "")`
   - Col D (`algorithm`): `=IF(row_idx&lt;=$C$6, "PPO", "")`
   - Col E (`learning_rate`):
     `=IF(row_idx&lt;=$C$6, IF($C$7="Random", CHOOSE(RANDBETWEEN(1,4), 0.0001, 0.0003, 0.0005, 0.001), 0.0003), "")`
     * Number format: `'0.0000'`.
   - Col F (`batch_size`):
     `=IF(row_idx&lt;=$C$6, IF($C$7="Random", CHOOSE(RANDBETWEEN(1,3), 64, 128, 256), 128), "")`
   - Col G (`buffer_size`):
     `=IF(row_idx&lt;=$C$6, IF($C$7="Random", CHOOSE(RANDBETWEEN(1,3), 1024, 2048, 4096), 2048), "")`
   - Col H (`max_steps`):
     `=IF(row_idx&lt;=$C$6, 500000, "")`
   - Col I (`random_seed`):
     `=IF(row_idx&lt;=$C$6, IF($C$7="Random", CHOOSE(RANDBETWEEN(1,3), 42, 101, 2024), 42), "")`
   - Cols J, K, L (`cpu_model`, `has_gpu`, `ram_gb`): `""` (Always empty).
5. **Attach Strict DataValidations:**
   - Attach `dv_run_id` (`textLength == 0`) to `B12:B111`.
   - Attach `dv_env` (`list: '"PushBlock"'`) to `C12:C111`.
   - Attach `dv_algo` (`list: '"PPO"'`) to `D12:D111`.
   - Attach `dv_lr` (`decimal between 0.0001 and 0.001`) to `E12:E111`.
   - Attach `dv_bs` (`list: '"64, 128, 256"'`) to `F12:F111`.
   - Attach `dv_buf` (`list: '"1024, 2048, 4096"'`) to `G12:G111`.
   - Attach `dv_ms` (`list: '"500000"'`) to `H12:H111`.
   - Attach `dv_seed` (`list: '"42, 101, 2024"'`) to `I12:I111`.
   - Attach `dv_hw` (`textLength == 0`) to `J12:L111`.
6. **Execution Output:**
   - Save workbook as `PushBlock_Training_Configurator_Secure_EN.xlsx`.
---
### OUTPUT FORMAT
Provide only the complete, self-contained Python script using `openpyxl`. Ensure the code executes cleanly with no missing imports or syntax errors.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</si>
</sst>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4"/>
      <color rgb="FF1F4E78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0"/>
      <color rgb="FF262626"/>
      <name val="Calibri"/>
      <family val="0"/>
      <charset val="1"/>
    </font>
    <font>
      <b val="true"/>
      <sz val="10"/>
      <color rgb="FF1F4E78"/>
      <name val="Calibri"/>
      <family val="0"/>
      <charset val="1"/>
    </font>
    <font>
      <i val="true"/>
      <sz val="9"/>
      <color rgb="FF595959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9FAFB"/>
        <bgColor rgb="FFFFFFFF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8" activeCellId="0" sqref="E28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4.01"/>
    <col collapsed="false" customWidth="true" hidden="false" outlineLevel="0" max="2" min="2" style="0" width="18"/>
    <col collapsed="false" customWidth="true" hidden="false" outlineLevel="0" max="3" min="3" style="0" width="11.99"/>
    <col collapsed="false" customWidth="true" hidden="false" outlineLevel="0" max="4" min="4" style="0" width="15"/>
    <col collapsed="false" customWidth="true" hidden="false" outlineLevel="0" max="5" min="5" style="0" width="13.01"/>
    <col collapsed="false" customWidth="true" hidden="false" outlineLevel="0" max="6" min="6" style="0" width="14.01"/>
    <col collapsed="false" customWidth="true" hidden="false" outlineLevel="0" max="7" min="7" style="0" width="13.01"/>
    <col collapsed="false" customWidth="true" hidden="false" outlineLevel="0" max="8" min="8" style="0" width="14.01"/>
    <col collapsed="false" customWidth="true" hidden="false" outlineLevel="0" max="9" min="9" style="0" width="19.99"/>
    <col collapsed="false" customWidth="true" hidden="false" outlineLevel="0" max="11" min="10" style="0" width="11.9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/>
      <c r="B2" s="2" t="str">
        <f aca="false">IF(1&lt;=Settings!$C$6, "PushBlock", "")</f>
        <v>PushBlock</v>
      </c>
      <c r="C2" s="2" t="str">
        <f aca="false">IF(1&lt;=Settings!$C$6, "PPO", "")</f>
        <v>PPO</v>
      </c>
      <c r="D2" s="3" t="n">
        <f aca="false">IF(1&lt;=Settings!$C$6, IF(Settings!$C$7="Random", CHOOSE(com.sun.star.sheet.addin.Analysis.getRandbetween(1,4), 0.0001, 0.0003, 0.0005, 0.001), 0.0003), "")</f>
        <v>0.0005</v>
      </c>
      <c r="E2" s="4" t="n">
        <f aca="false">IF(1&lt;=Settings!$C$6, IF(Settings!$C$7="Random", CHOOSE(com.sun.star.sheet.addin.Analysis.getRandbetween(1,3), 64, 128, 256), 128), "")</f>
        <v>256</v>
      </c>
      <c r="F2" s="4" t="n">
        <f aca="false">IF(1&lt;=Settings!$C$6, IF(Settings!$C$7="Random", CHOOSE(com.sun.star.sheet.addin.Analysis.getRandbetween(1,3), 1024, 2048, 4096), 2048), "")</f>
        <v>1024</v>
      </c>
      <c r="G2" s="4" t="n">
        <f aca="false">IF(1&lt;=Settings!$C$6, 500000, "")</f>
        <v>500000</v>
      </c>
      <c r="H2" s="4" t="n">
        <f aca="false">IF(1&lt;=Settings!$C$6, IF(Settings!$C$7="Random", CHOOSE(com.sun.star.sheet.addin.Analysis.getRandbetween(1,3), 42, 101, 2024), 42), "")</f>
        <v>101</v>
      </c>
      <c r="I2" s="2"/>
      <c r="J2" s="2"/>
      <c r="K2" s="2"/>
    </row>
    <row r="3" customFormat="false" ht="15" hidden="false" customHeight="false" outlineLevel="0" collapsed="false">
      <c r="A3" s="5"/>
      <c r="B3" s="5" t="str">
        <f aca="false">IF(2&lt;=Settings!$C$6, "PushBlock", "")</f>
        <v>PushBlock</v>
      </c>
      <c r="C3" s="5" t="str">
        <f aca="false">IF(2&lt;=Settings!$C$6, "PPO", "")</f>
        <v>PPO</v>
      </c>
      <c r="D3" s="6" t="n">
        <f aca="false">IF(2&lt;=Settings!$C$6, IF(Settings!$C$7="Random", CHOOSE(com.sun.star.sheet.addin.Analysis.getRandbetween(1,4), 0.0001, 0.0003, 0.0005, 0.001), 0.0003), "")</f>
        <v>0.0003</v>
      </c>
      <c r="E3" s="7" t="n">
        <f aca="false">IF(2&lt;=Settings!$C$6, IF(Settings!$C$7="Random", CHOOSE(com.sun.star.sheet.addin.Analysis.getRandbetween(1,3), 64, 128, 256), 128), "")</f>
        <v>64</v>
      </c>
      <c r="F3" s="7" t="n">
        <f aca="false">IF(2&lt;=Settings!$C$6, IF(Settings!$C$7="Random", CHOOSE(com.sun.star.sheet.addin.Analysis.getRandbetween(1,3), 1024, 2048, 4096), 2048), "")</f>
        <v>2048</v>
      </c>
      <c r="G3" s="7" t="n">
        <f aca="false">IF(2&lt;=Settings!$C$6, 500000, "")</f>
        <v>500000</v>
      </c>
      <c r="H3" s="7" t="n">
        <f aca="false">IF(2&lt;=Settings!$C$6, IF(Settings!$C$7="Random", CHOOSE(com.sun.star.sheet.addin.Analysis.getRandbetween(1,3), 42, 101, 2024), 42), "")</f>
        <v>42</v>
      </c>
      <c r="I3" s="5"/>
      <c r="J3" s="5"/>
      <c r="K3" s="5"/>
    </row>
    <row r="4" customFormat="false" ht="15" hidden="false" customHeight="false" outlineLevel="0" collapsed="false">
      <c r="A4" s="2"/>
      <c r="B4" s="2" t="str">
        <f aca="false">IF(3&lt;=Settings!$C$6, "PushBlock", "")</f>
        <v>PushBlock</v>
      </c>
      <c r="C4" s="2" t="str">
        <f aca="false">IF(3&lt;=Settings!$C$6, "PPO", "")</f>
        <v>PPO</v>
      </c>
      <c r="D4" s="3" t="n">
        <f aca="false">IF(3&lt;=Settings!$C$6, IF(Settings!$C$7="Random", CHOOSE(com.sun.star.sheet.addin.Analysis.getRandbetween(1,4), 0.0001, 0.0003, 0.0005, 0.001), 0.0003), "")</f>
        <v>0.0003</v>
      </c>
      <c r="E4" s="4" t="n">
        <f aca="false">IF(3&lt;=Settings!$C$6, IF(Settings!$C$7="Random", CHOOSE(com.sun.star.sheet.addin.Analysis.getRandbetween(1,3), 64, 128, 256), 128), "")</f>
        <v>128</v>
      </c>
      <c r="F4" s="4" t="n">
        <f aca="false">IF(3&lt;=Settings!$C$6, IF(Settings!$C$7="Random", CHOOSE(com.sun.star.sheet.addin.Analysis.getRandbetween(1,3), 1024, 2048, 4096), 2048), "")</f>
        <v>2048</v>
      </c>
      <c r="G4" s="4" t="n">
        <f aca="false">IF(3&lt;=Settings!$C$6, 500000, "")</f>
        <v>500000</v>
      </c>
      <c r="H4" s="4" t="n">
        <f aca="false">IF(3&lt;=Settings!$C$6, IF(Settings!$C$7="Random", CHOOSE(com.sun.star.sheet.addin.Analysis.getRandbetween(1,3), 42, 101, 2024), 42), "")</f>
        <v>42</v>
      </c>
      <c r="I4" s="2"/>
      <c r="J4" s="2"/>
      <c r="K4" s="2"/>
    </row>
    <row r="5" customFormat="false" ht="15" hidden="false" customHeight="false" outlineLevel="0" collapsed="false">
      <c r="A5" s="5"/>
      <c r="B5" s="5" t="str">
        <f aca="false">IF(4&lt;=Settings!$C$6, "PushBlock", "")</f>
        <v>PushBlock</v>
      </c>
      <c r="C5" s="5" t="str">
        <f aca="false">IF(4&lt;=Settings!$C$6, "PPO", "")</f>
        <v>PPO</v>
      </c>
      <c r="D5" s="6" t="n">
        <f aca="false">IF(4&lt;=Settings!$C$6, IF(Settings!$C$7="Random", CHOOSE(com.sun.star.sheet.addin.Analysis.getRandbetween(1,4), 0.0001, 0.0003, 0.0005, 0.001), 0.0003), "")</f>
        <v>0.0001</v>
      </c>
      <c r="E5" s="7" t="n">
        <f aca="false">IF(4&lt;=Settings!$C$6, IF(Settings!$C$7="Random", CHOOSE(com.sun.star.sheet.addin.Analysis.getRandbetween(1,3), 64, 128, 256), 128), "")</f>
        <v>128</v>
      </c>
      <c r="F5" s="7" t="n">
        <f aca="false">IF(4&lt;=Settings!$C$6, IF(Settings!$C$7="Random", CHOOSE(com.sun.star.sheet.addin.Analysis.getRandbetween(1,3), 1024, 2048, 4096), 2048), "")</f>
        <v>4096</v>
      </c>
      <c r="G5" s="7" t="n">
        <f aca="false">IF(4&lt;=Settings!$C$6, 500000, "")</f>
        <v>500000</v>
      </c>
      <c r="H5" s="7" t="n">
        <f aca="false">IF(4&lt;=Settings!$C$6, IF(Settings!$C$7="Random", CHOOSE(com.sun.star.sheet.addin.Analysis.getRandbetween(1,3), 42, 101, 2024), 42), "")</f>
        <v>101</v>
      </c>
      <c r="I5" s="5"/>
      <c r="J5" s="5"/>
      <c r="K5" s="5"/>
    </row>
    <row r="6" customFormat="false" ht="15" hidden="false" customHeight="false" outlineLevel="0" collapsed="false">
      <c r="A6" s="2"/>
      <c r="B6" s="2" t="str">
        <f aca="false">IF(5&lt;=Settings!$C$6, "PushBlock", "")</f>
        <v>PushBlock</v>
      </c>
      <c r="C6" s="2" t="str">
        <f aca="false">IF(5&lt;=Settings!$C$6, "PPO", "")</f>
        <v>PPO</v>
      </c>
      <c r="D6" s="3" t="n">
        <f aca="false">IF(5&lt;=Settings!$C$6, IF(Settings!$C$7="Random", CHOOSE(com.sun.star.sheet.addin.Analysis.getRandbetween(1,4), 0.0001, 0.0003, 0.0005, 0.001), 0.0003), "")</f>
        <v>0.0005</v>
      </c>
      <c r="E6" s="4" t="n">
        <f aca="false">IF(5&lt;=Settings!$C$6, IF(Settings!$C$7="Random", CHOOSE(com.sun.star.sheet.addin.Analysis.getRandbetween(1,3), 64, 128, 256), 128), "")</f>
        <v>128</v>
      </c>
      <c r="F6" s="4" t="n">
        <f aca="false">IF(5&lt;=Settings!$C$6, IF(Settings!$C$7="Random", CHOOSE(com.sun.star.sheet.addin.Analysis.getRandbetween(1,3), 1024, 2048, 4096), 2048), "")</f>
        <v>1024</v>
      </c>
      <c r="G6" s="4" t="n">
        <f aca="false">IF(5&lt;=Settings!$C$6, 500000, "")</f>
        <v>500000</v>
      </c>
      <c r="H6" s="4" t="n">
        <f aca="false">IF(5&lt;=Settings!$C$6, IF(Settings!$C$7="Random", CHOOSE(com.sun.star.sheet.addin.Analysis.getRandbetween(1,3), 42, 101, 2024), 42), "")</f>
        <v>2024</v>
      </c>
      <c r="I6" s="2"/>
      <c r="J6" s="2"/>
      <c r="K6" s="2"/>
    </row>
    <row r="7" customFormat="false" ht="15" hidden="false" customHeight="false" outlineLevel="0" collapsed="false">
      <c r="A7" s="5"/>
      <c r="B7" s="5" t="str">
        <f aca="false">IF(6&lt;=Settings!$C$6, "PushBlock", "")</f>
        <v>PushBlock</v>
      </c>
      <c r="C7" s="5" t="str">
        <f aca="false">IF(6&lt;=Settings!$C$6, "PPO", "")</f>
        <v>PPO</v>
      </c>
      <c r="D7" s="6" t="n">
        <f aca="false">IF(6&lt;=Settings!$C$6, IF(Settings!$C$7="Random", CHOOSE(com.sun.star.sheet.addin.Analysis.getRandbetween(1,4), 0.0001, 0.0003, 0.0005, 0.001), 0.0003), "")</f>
        <v>0.0003</v>
      </c>
      <c r="E7" s="7" t="n">
        <f aca="false">IF(6&lt;=Settings!$C$6, IF(Settings!$C$7="Random", CHOOSE(com.sun.star.sheet.addin.Analysis.getRandbetween(1,3), 64, 128, 256), 128), "")</f>
        <v>64</v>
      </c>
      <c r="F7" s="7" t="n">
        <f aca="false">IF(6&lt;=Settings!$C$6, IF(Settings!$C$7="Random", CHOOSE(com.sun.star.sheet.addin.Analysis.getRandbetween(1,3), 1024, 2048, 4096), 2048), "")</f>
        <v>1024</v>
      </c>
      <c r="G7" s="7" t="n">
        <f aca="false">IF(6&lt;=Settings!$C$6, 500000, "")</f>
        <v>500000</v>
      </c>
      <c r="H7" s="7" t="n">
        <f aca="false">IF(6&lt;=Settings!$C$6, IF(Settings!$C$7="Random", CHOOSE(com.sun.star.sheet.addin.Analysis.getRandbetween(1,3), 42, 101, 2024), 42), "")</f>
        <v>2024</v>
      </c>
      <c r="I7" s="5"/>
      <c r="J7" s="5"/>
      <c r="K7" s="5"/>
    </row>
    <row r="8" customFormat="false" ht="15" hidden="false" customHeight="false" outlineLevel="0" collapsed="false">
      <c r="A8" s="2"/>
      <c r="B8" s="2" t="str">
        <f aca="false">IF(7&lt;=Settings!$C$6, "PushBlock", "")</f>
        <v>PushBlock</v>
      </c>
      <c r="C8" s="2" t="str">
        <f aca="false">IF(7&lt;=Settings!$C$6, "PPO", "")</f>
        <v>PPO</v>
      </c>
      <c r="D8" s="3" t="n">
        <f aca="false">IF(7&lt;=Settings!$C$6, IF(Settings!$C$7="Random", CHOOSE(com.sun.star.sheet.addin.Analysis.getRandbetween(1,4), 0.0001, 0.0003, 0.0005, 0.001), 0.0003), "")</f>
        <v>0.001</v>
      </c>
      <c r="E8" s="4" t="n">
        <f aca="false">IF(7&lt;=Settings!$C$6, IF(Settings!$C$7="Random", CHOOSE(com.sun.star.sheet.addin.Analysis.getRandbetween(1,3), 64, 128, 256), 128), "")</f>
        <v>128</v>
      </c>
      <c r="F8" s="4" t="n">
        <f aca="false">IF(7&lt;=Settings!$C$6, IF(Settings!$C$7="Random", CHOOSE(com.sun.star.sheet.addin.Analysis.getRandbetween(1,3), 1024, 2048, 4096), 2048), "")</f>
        <v>1024</v>
      </c>
      <c r="G8" s="4" t="n">
        <f aca="false">IF(7&lt;=Settings!$C$6, 500000, "")</f>
        <v>500000</v>
      </c>
      <c r="H8" s="4" t="n">
        <f aca="false">IF(7&lt;=Settings!$C$6, IF(Settings!$C$7="Random", CHOOSE(com.sun.star.sheet.addin.Analysis.getRandbetween(1,3), 42, 101, 2024), 42), "")</f>
        <v>42</v>
      </c>
      <c r="I8" s="2"/>
      <c r="J8" s="2"/>
      <c r="K8" s="2"/>
    </row>
    <row r="9" customFormat="false" ht="15" hidden="false" customHeight="false" outlineLevel="0" collapsed="false">
      <c r="A9" s="5"/>
      <c r="B9" s="5" t="str">
        <f aca="false">IF(8&lt;=Settings!$C$6, "PushBlock", "")</f>
        <v>PushBlock</v>
      </c>
      <c r="C9" s="5" t="str">
        <f aca="false">IF(8&lt;=Settings!$C$6, "PPO", "")</f>
        <v>PPO</v>
      </c>
      <c r="D9" s="6" t="n">
        <f aca="false">IF(8&lt;=Settings!$C$6, IF(Settings!$C$7="Random", CHOOSE(com.sun.star.sheet.addin.Analysis.getRandbetween(1,4), 0.0001, 0.0003, 0.0005, 0.001), 0.0003), "")</f>
        <v>0.0003</v>
      </c>
      <c r="E9" s="7" t="n">
        <f aca="false">IF(8&lt;=Settings!$C$6, IF(Settings!$C$7="Random", CHOOSE(com.sun.star.sheet.addin.Analysis.getRandbetween(1,3), 64, 128, 256), 128), "")</f>
        <v>64</v>
      </c>
      <c r="F9" s="7" t="n">
        <f aca="false">IF(8&lt;=Settings!$C$6, IF(Settings!$C$7="Random", CHOOSE(com.sun.star.sheet.addin.Analysis.getRandbetween(1,3), 1024, 2048, 4096), 2048), "")</f>
        <v>4096</v>
      </c>
      <c r="G9" s="7" t="n">
        <f aca="false">IF(8&lt;=Settings!$C$6, 500000, "")</f>
        <v>500000</v>
      </c>
      <c r="H9" s="7" t="n">
        <f aca="false">IF(8&lt;=Settings!$C$6, IF(Settings!$C$7="Random", CHOOSE(com.sun.star.sheet.addin.Analysis.getRandbetween(1,3), 42, 101, 2024), 42), "")</f>
        <v>101</v>
      </c>
      <c r="I9" s="5"/>
      <c r="J9" s="5"/>
      <c r="K9" s="5"/>
    </row>
    <row r="10" customFormat="false" ht="15" hidden="false" customHeight="false" outlineLevel="0" collapsed="false">
      <c r="A10" s="2"/>
      <c r="B10" s="2" t="str">
        <f aca="false">IF(9&lt;=Settings!$C$6, "PushBlock", "")</f>
        <v>PushBlock</v>
      </c>
      <c r="C10" s="2" t="str">
        <f aca="false">IF(9&lt;=Settings!$C$6, "PPO", "")</f>
        <v>PPO</v>
      </c>
      <c r="D10" s="3" t="n">
        <f aca="false">IF(9&lt;=Settings!$C$6, IF(Settings!$C$7="Random", CHOOSE(com.sun.star.sheet.addin.Analysis.getRandbetween(1,4), 0.0001, 0.0003, 0.0005, 0.001), 0.0003), "")</f>
        <v>0.0003</v>
      </c>
      <c r="E10" s="4" t="n">
        <f aca="false">IF(9&lt;=Settings!$C$6, IF(Settings!$C$7="Random", CHOOSE(com.sun.star.sheet.addin.Analysis.getRandbetween(1,3), 64, 128, 256), 128), "")</f>
        <v>128</v>
      </c>
      <c r="F10" s="4" t="n">
        <f aca="false">IF(9&lt;=Settings!$C$6, IF(Settings!$C$7="Random", CHOOSE(com.sun.star.sheet.addin.Analysis.getRandbetween(1,3), 1024, 2048, 4096), 2048), "")</f>
        <v>1024</v>
      </c>
      <c r="G10" s="4" t="n">
        <f aca="false">IF(9&lt;=Settings!$C$6, 500000, "")</f>
        <v>500000</v>
      </c>
      <c r="H10" s="4" t="n">
        <f aca="false">IF(9&lt;=Settings!$C$6, IF(Settings!$C$7="Random", CHOOSE(com.sun.star.sheet.addin.Analysis.getRandbetween(1,3), 42, 101, 2024), 42), "")</f>
        <v>42</v>
      </c>
      <c r="I10" s="2"/>
      <c r="J10" s="2"/>
      <c r="K10" s="2"/>
    </row>
    <row r="11" customFormat="false" ht="15" hidden="false" customHeight="false" outlineLevel="0" collapsed="false">
      <c r="A11" s="5"/>
      <c r="B11" s="5" t="str">
        <f aca="false">IF(10&lt;=Settings!$C$6, "PushBlock", "")</f>
        <v>PushBlock</v>
      </c>
      <c r="C11" s="5" t="str">
        <f aca="false">IF(10&lt;=Settings!$C$6, "PPO", "")</f>
        <v>PPO</v>
      </c>
      <c r="D11" s="6" t="n">
        <f aca="false">IF(10&lt;=Settings!$C$6, IF(Settings!$C$7="Random", CHOOSE(com.sun.star.sheet.addin.Analysis.getRandbetween(1,4), 0.0001, 0.0003, 0.0005, 0.001), 0.0003), "")</f>
        <v>0.001</v>
      </c>
      <c r="E11" s="7" t="n">
        <f aca="false">IF(10&lt;=Settings!$C$6, IF(Settings!$C$7="Random", CHOOSE(com.sun.star.sheet.addin.Analysis.getRandbetween(1,3), 64, 128, 256), 128), "")</f>
        <v>128</v>
      </c>
      <c r="F11" s="7" t="n">
        <f aca="false">IF(10&lt;=Settings!$C$6, IF(Settings!$C$7="Random", CHOOSE(com.sun.star.sheet.addin.Analysis.getRandbetween(1,3), 1024, 2048, 4096), 2048), "")</f>
        <v>1024</v>
      </c>
      <c r="G11" s="7" t="n">
        <f aca="false">IF(10&lt;=Settings!$C$6, 500000, "")</f>
        <v>500000</v>
      </c>
      <c r="H11" s="7" t="n">
        <f aca="false">IF(10&lt;=Settings!$C$6, IF(Settings!$C$7="Random", CHOOSE(com.sun.star.sheet.addin.Analysis.getRandbetween(1,3), 42, 101, 2024), 42), "")</f>
        <v>42</v>
      </c>
      <c r="I11" s="5"/>
      <c r="J11" s="5"/>
      <c r="K11" s="5"/>
    </row>
    <row r="12" customFormat="false" ht="15" hidden="false" customHeight="false" outlineLevel="0" collapsed="false">
      <c r="A12" s="2"/>
      <c r="B12" s="2" t="str">
        <f aca="false">IF(11&lt;=Settings!$C$6, "PushBlock", "")</f>
        <v>PushBlock</v>
      </c>
      <c r="C12" s="2" t="str">
        <f aca="false">IF(11&lt;=Settings!$C$6, "PPO", "")</f>
        <v>PPO</v>
      </c>
      <c r="D12" s="3" t="n">
        <f aca="false">IF(11&lt;=Settings!$C$6, IF(Settings!$C$7="Random", CHOOSE(com.sun.star.sheet.addin.Analysis.getRandbetween(1,4), 0.0001, 0.0003, 0.0005, 0.001), 0.0003), "")</f>
        <v>0.0003</v>
      </c>
      <c r="E12" s="4" t="n">
        <f aca="false">IF(11&lt;=Settings!$C$6, IF(Settings!$C$7="Random", CHOOSE(com.sun.star.sheet.addin.Analysis.getRandbetween(1,3), 64, 128, 256), 128), "")</f>
        <v>256</v>
      </c>
      <c r="F12" s="4" t="n">
        <f aca="false">IF(11&lt;=Settings!$C$6, IF(Settings!$C$7="Random", CHOOSE(com.sun.star.sheet.addin.Analysis.getRandbetween(1,3), 1024, 2048, 4096), 2048), "")</f>
        <v>4096</v>
      </c>
      <c r="G12" s="4" t="n">
        <f aca="false">IF(11&lt;=Settings!$C$6, 500000, "")</f>
        <v>500000</v>
      </c>
      <c r="H12" s="4" t="n">
        <f aca="false">IF(11&lt;=Settings!$C$6, IF(Settings!$C$7="Random", CHOOSE(com.sun.star.sheet.addin.Analysis.getRandbetween(1,3), 42, 101, 2024), 42), "")</f>
        <v>2024</v>
      </c>
      <c r="I12" s="2"/>
      <c r="J12" s="2"/>
      <c r="K12" s="2"/>
    </row>
    <row r="13" customFormat="false" ht="15" hidden="false" customHeight="false" outlineLevel="0" collapsed="false">
      <c r="A13" s="5"/>
      <c r="B13" s="5" t="str">
        <f aca="false">IF(12&lt;=Settings!$C$6, "PushBlock", "")</f>
        <v>PushBlock</v>
      </c>
      <c r="C13" s="5" t="str">
        <f aca="false">IF(12&lt;=Settings!$C$6, "PPO", "")</f>
        <v>PPO</v>
      </c>
      <c r="D13" s="6" t="n">
        <f aca="false">IF(12&lt;=Settings!$C$6, IF(Settings!$C$7="Random", CHOOSE(com.sun.star.sheet.addin.Analysis.getRandbetween(1,4), 0.0001, 0.0003, 0.0005, 0.001), 0.0003), "")</f>
        <v>0.0005</v>
      </c>
      <c r="E13" s="7" t="n">
        <f aca="false">IF(12&lt;=Settings!$C$6, IF(Settings!$C$7="Random", CHOOSE(com.sun.star.sheet.addin.Analysis.getRandbetween(1,3), 64, 128, 256), 128), "")</f>
        <v>128</v>
      </c>
      <c r="F13" s="7" t="n">
        <f aca="false">IF(12&lt;=Settings!$C$6, IF(Settings!$C$7="Random", CHOOSE(com.sun.star.sheet.addin.Analysis.getRandbetween(1,3), 1024, 2048, 4096), 2048), "")</f>
        <v>1024</v>
      </c>
      <c r="G13" s="7" t="n">
        <f aca="false">IF(12&lt;=Settings!$C$6, 500000, "")</f>
        <v>500000</v>
      </c>
      <c r="H13" s="7" t="n">
        <f aca="false">IF(12&lt;=Settings!$C$6, IF(Settings!$C$7="Random", CHOOSE(com.sun.star.sheet.addin.Analysis.getRandbetween(1,3), 42, 101, 2024), 42), "")</f>
        <v>42</v>
      </c>
      <c r="I13" s="5"/>
      <c r="J13" s="5"/>
      <c r="K13" s="5"/>
    </row>
    <row r="14" customFormat="false" ht="15" hidden="false" customHeight="false" outlineLevel="0" collapsed="false">
      <c r="A14" s="2"/>
      <c r="B14" s="2" t="str">
        <f aca="false">IF(13&lt;=Settings!$C$6, "PushBlock", "")</f>
        <v>PushBlock</v>
      </c>
      <c r="C14" s="2" t="str">
        <f aca="false">IF(13&lt;=Settings!$C$6, "PPO", "")</f>
        <v>PPO</v>
      </c>
      <c r="D14" s="3" t="n">
        <f aca="false">IF(13&lt;=Settings!$C$6, IF(Settings!$C$7="Random", CHOOSE(com.sun.star.sheet.addin.Analysis.getRandbetween(1,4), 0.0001, 0.0003, 0.0005, 0.001), 0.0003), "")</f>
        <v>0.001</v>
      </c>
      <c r="E14" s="4" t="n">
        <f aca="false">IF(13&lt;=Settings!$C$6, IF(Settings!$C$7="Random", CHOOSE(com.sun.star.sheet.addin.Analysis.getRandbetween(1,3), 64, 128, 256), 128), "")</f>
        <v>128</v>
      </c>
      <c r="F14" s="4" t="n">
        <f aca="false">IF(13&lt;=Settings!$C$6, IF(Settings!$C$7="Random", CHOOSE(com.sun.star.sheet.addin.Analysis.getRandbetween(1,3), 1024, 2048, 4096), 2048), "")</f>
        <v>2048</v>
      </c>
      <c r="G14" s="4" t="n">
        <f aca="false">IF(13&lt;=Settings!$C$6, 500000, "")</f>
        <v>500000</v>
      </c>
      <c r="H14" s="4" t="n">
        <f aca="false">IF(13&lt;=Settings!$C$6, IF(Settings!$C$7="Random", CHOOSE(com.sun.star.sheet.addin.Analysis.getRandbetween(1,3), 42, 101, 2024), 42), "")</f>
        <v>101</v>
      </c>
      <c r="I14" s="2"/>
      <c r="J14" s="2"/>
      <c r="K14" s="2"/>
    </row>
    <row r="15" customFormat="false" ht="15" hidden="false" customHeight="false" outlineLevel="0" collapsed="false">
      <c r="A15" s="5"/>
      <c r="B15" s="5" t="str">
        <f aca="false">IF(14&lt;=Settings!$C$6, "PushBlock", "")</f>
        <v>PushBlock</v>
      </c>
      <c r="C15" s="5" t="str">
        <f aca="false">IF(14&lt;=Settings!$C$6, "PPO", "")</f>
        <v>PPO</v>
      </c>
      <c r="D15" s="6" t="n">
        <f aca="false">IF(14&lt;=Settings!$C$6, IF(Settings!$C$7="Random", CHOOSE(com.sun.star.sheet.addin.Analysis.getRandbetween(1,4), 0.0001, 0.0003, 0.0005, 0.001), 0.0003), "")</f>
        <v>0.001</v>
      </c>
      <c r="E15" s="7" t="n">
        <f aca="false">IF(14&lt;=Settings!$C$6, IF(Settings!$C$7="Random", CHOOSE(com.sun.star.sheet.addin.Analysis.getRandbetween(1,3), 64, 128, 256), 128), "")</f>
        <v>256</v>
      </c>
      <c r="F15" s="7" t="n">
        <f aca="false">IF(14&lt;=Settings!$C$6, IF(Settings!$C$7="Random", CHOOSE(com.sun.star.sheet.addin.Analysis.getRandbetween(1,3), 1024, 2048, 4096), 2048), "")</f>
        <v>2048</v>
      </c>
      <c r="G15" s="7" t="n">
        <f aca="false">IF(14&lt;=Settings!$C$6, 500000, "")</f>
        <v>500000</v>
      </c>
      <c r="H15" s="7" t="n">
        <f aca="false">IF(14&lt;=Settings!$C$6, IF(Settings!$C$7="Random", CHOOSE(com.sun.star.sheet.addin.Analysis.getRandbetween(1,3), 42, 101, 2024), 42), "")</f>
        <v>101</v>
      </c>
      <c r="I15" s="5"/>
      <c r="J15" s="5"/>
      <c r="K15" s="5"/>
    </row>
    <row r="16" customFormat="false" ht="15" hidden="false" customHeight="false" outlineLevel="0" collapsed="false">
      <c r="A16" s="2"/>
      <c r="B16" s="2" t="str">
        <f aca="false">IF(15&lt;=Settings!$C$6, "PushBlock", "")</f>
        <v>PushBlock</v>
      </c>
      <c r="C16" s="2" t="str">
        <f aca="false">IF(15&lt;=Settings!$C$6, "PPO", "")</f>
        <v>PPO</v>
      </c>
      <c r="D16" s="3" t="n">
        <f aca="false">IF(15&lt;=Settings!$C$6, IF(Settings!$C$7="Random", CHOOSE(com.sun.star.sheet.addin.Analysis.getRandbetween(1,4), 0.0001, 0.0003, 0.0005, 0.001), 0.0003), "")</f>
        <v>0.0001</v>
      </c>
      <c r="E16" s="4" t="n">
        <f aca="false">IF(15&lt;=Settings!$C$6, IF(Settings!$C$7="Random", CHOOSE(com.sun.star.sheet.addin.Analysis.getRandbetween(1,3), 64, 128, 256), 128), "")</f>
        <v>256</v>
      </c>
      <c r="F16" s="4" t="n">
        <f aca="false">IF(15&lt;=Settings!$C$6, IF(Settings!$C$7="Random", CHOOSE(com.sun.star.sheet.addin.Analysis.getRandbetween(1,3), 1024, 2048, 4096), 2048), "")</f>
        <v>4096</v>
      </c>
      <c r="G16" s="4" t="n">
        <f aca="false">IF(15&lt;=Settings!$C$6, 500000, "")</f>
        <v>500000</v>
      </c>
      <c r="H16" s="4" t="n">
        <f aca="false">IF(15&lt;=Settings!$C$6, IF(Settings!$C$7="Random", CHOOSE(com.sun.star.sheet.addin.Analysis.getRandbetween(1,3), 42, 101, 2024), 42), "")</f>
        <v>101</v>
      </c>
      <c r="I16" s="2"/>
      <c r="J16" s="2"/>
      <c r="K16" s="2"/>
    </row>
    <row r="17" customFormat="false" ht="15" hidden="false" customHeight="false" outlineLevel="0" collapsed="false">
      <c r="A17" s="5"/>
      <c r="B17" s="5" t="str">
        <f aca="false">IF(16&lt;=Settings!$C$6, "PushBlock", "")</f>
        <v>PushBlock</v>
      </c>
      <c r="C17" s="5" t="str">
        <f aca="false">IF(16&lt;=Settings!$C$6, "PPO", "")</f>
        <v>PPO</v>
      </c>
      <c r="D17" s="6" t="n">
        <f aca="false">IF(16&lt;=Settings!$C$6, IF(Settings!$C$7="Random", CHOOSE(com.sun.star.sheet.addin.Analysis.getRandbetween(1,4), 0.0001, 0.0003, 0.0005, 0.001), 0.0003), "")</f>
        <v>0.0003</v>
      </c>
      <c r="E17" s="7" t="n">
        <f aca="false">IF(16&lt;=Settings!$C$6, IF(Settings!$C$7="Random", CHOOSE(com.sun.star.sheet.addin.Analysis.getRandbetween(1,3), 64, 128, 256), 128), "")</f>
        <v>128</v>
      </c>
      <c r="F17" s="7" t="n">
        <f aca="false">IF(16&lt;=Settings!$C$6, IF(Settings!$C$7="Random", CHOOSE(com.sun.star.sheet.addin.Analysis.getRandbetween(1,3), 1024, 2048, 4096), 2048), "")</f>
        <v>1024</v>
      </c>
      <c r="G17" s="7" t="n">
        <f aca="false">IF(16&lt;=Settings!$C$6, 500000, "")</f>
        <v>500000</v>
      </c>
      <c r="H17" s="7" t="n">
        <f aca="false">IF(16&lt;=Settings!$C$6, IF(Settings!$C$7="Random", CHOOSE(com.sun.star.sheet.addin.Analysis.getRandbetween(1,3), 42, 101, 2024), 42), "")</f>
        <v>2024</v>
      </c>
      <c r="I17" s="5"/>
      <c r="J17" s="5"/>
      <c r="K17" s="5"/>
    </row>
    <row r="18" customFormat="false" ht="15" hidden="false" customHeight="false" outlineLevel="0" collapsed="false">
      <c r="A18" s="2"/>
      <c r="B18" s="2" t="str">
        <f aca="false">IF(17&lt;=Settings!$C$6, "PushBlock", "")</f>
        <v>PushBlock</v>
      </c>
      <c r="C18" s="2" t="str">
        <f aca="false">IF(17&lt;=Settings!$C$6, "PPO", "")</f>
        <v>PPO</v>
      </c>
      <c r="D18" s="3" t="n">
        <f aca="false">IF(17&lt;=Settings!$C$6, IF(Settings!$C$7="Random", CHOOSE(com.sun.star.sheet.addin.Analysis.getRandbetween(1,4), 0.0001, 0.0003, 0.0005, 0.001), 0.0003), "")</f>
        <v>0.001</v>
      </c>
      <c r="E18" s="4" t="n">
        <f aca="false">IF(17&lt;=Settings!$C$6, IF(Settings!$C$7="Random", CHOOSE(com.sun.star.sheet.addin.Analysis.getRandbetween(1,3), 64, 128, 256), 128), "")</f>
        <v>64</v>
      </c>
      <c r="F18" s="4" t="n">
        <f aca="false">IF(17&lt;=Settings!$C$6, IF(Settings!$C$7="Random", CHOOSE(com.sun.star.sheet.addin.Analysis.getRandbetween(1,3), 1024, 2048, 4096), 2048), "")</f>
        <v>1024</v>
      </c>
      <c r="G18" s="4" t="n">
        <f aca="false">IF(17&lt;=Settings!$C$6, 500000, "")</f>
        <v>500000</v>
      </c>
      <c r="H18" s="4" t="n">
        <f aca="false">IF(17&lt;=Settings!$C$6, IF(Settings!$C$7="Random", CHOOSE(com.sun.star.sheet.addin.Analysis.getRandbetween(1,3), 42, 101, 2024), 42), "")</f>
        <v>2024</v>
      </c>
      <c r="I18" s="2"/>
      <c r="J18" s="2"/>
      <c r="K18" s="2"/>
    </row>
    <row r="19" customFormat="false" ht="15" hidden="false" customHeight="false" outlineLevel="0" collapsed="false">
      <c r="A19" s="5"/>
      <c r="B19" s="5" t="str">
        <f aca="false">IF(18&lt;=Settings!$C$6, "PushBlock", "")</f>
        <v>PushBlock</v>
      </c>
      <c r="C19" s="5" t="str">
        <f aca="false">IF(18&lt;=Settings!$C$6, "PPO", "")</f>
        <v>PPO</v>
      </c>
      <c r="D19" s="6" t="n">
        <f aca="false">IF(18&lt;=Settings!$C$6, IF(Settings!$C$7="Random", CHOOSE(com.sun.star.sheet.addin.Analysis.getRandbetween(1,4), 0.0001, 0.0003, 0.0005, 0.001), 0.0003), "")</f>
        <v>0.001</v>
      </c>
      <c r="E19" s="7" t="n">
        <f aca="false">IF(18&lt;=Settings!$C$6, IF(Settings!$C$7="Random", CHOOSE(com.sun.star.sheet.addin.Analysis.getRandbetween(1,3), 64, 128, 256), 128), "")</f>
        <v>256</v>
      </c>
      <c r="F19" s="7" t="n">
        <f aca="false">IF(18&lt;=Settings!$C$6, IF(Settings!$C$7="Random", CHOOSE(com.sun.star.sheet.addin.Analysis.getRandbetween(1,3), 1024, 2048, 4096), 2048), "")</f>
        <v>2048</v>
      </c>
      <c r="G19" s="7" t="n">
        <f aca="false">IF(18&lt;=Settings!$C$6, 500000, "")</f>
        <v>500000</v>
      </c>
      <c r="H19" s="7" t="n">
        <f aca="false">IF(18&lt;=Settings!$C$6, IF(Settings!$C$7="Random", CHOOSE(com.sun.star.sheet.addin.Analysis.getRandbetween(1,3), 42, 101, 2024), 42), "")</f>
        <v>42</v>
      </c>
      <c r="I19" s="5"/>
      <c r="J19" s="5"/>
      <c r="K19" s="5"/>
    </row>
    <row r="20" customFormat="false" ht="15" hidden="false" customHeight="false" outlineLevel="0" collapsed="false">
      <c r="A20" s="2"/>
      <c r="B20" s="2" t="str">
        <f aca="false">IF(19&lt;=Settings!$C$6, "PushBlock", "")</f>
        <v>PushBlock</v>
      </c>
      <c r="C20" s="2" t="str">
        <f aca="false">IF(19&lt;=Settings!$C$6, "PPO", "")</f>
        <v>PPO</v>
      </c>
      <c r="D20" s="3" t="n">
        <f aca="false">IF(19&lt;=Settings!$C$6, IF(Settings!$C$7="Random", CHOOSE(com.sun.star.sheet.addin.Analysis.getRandbetween(1,4), 0.0001, 0.0003, 0.0005, 0.001), 0.0003), "")</f>
        <v>0.001</v>
      </c>
      <c r="E20" s="4" t="n">
        <f aca="false">IF(19&lt;=Settings!$C$6, IF(Settings!$C$7="Random", CHOOSE(com.sun.star.sheet.addin.Analysis.getRandbetween(1,3), 64, 128, 256), 128), "")</f>
        <v>64</v>
      </c>
      <c r="F20" s="4" t="n">
        <f aca="false">IF(19&lt;=Settings!$C$6, IF(Settings!$C$7="Random", CHOOSE(com.sun.star.sheet.addin.Analysis.getRandbetween(1,3), 1024, 2048, 4096), 2048), "")</f>
        <v>4096</v>
      </c>
      <c r="G20" s="4" t="n">
        <f aca="false">IF(19&lt;=Settings!$C$6, 500000, "")</f>
        <v>500000</v>
      </c>
      <c r="H20" s="4" t="n">
        <f aca="false">IF(19&lt;=Settings!$C$6, IF(Settings!$C$7="Random", CHOOSE(com.sun.star.sheet.addin.Analysis.getRandbetween(1,3), 42, 101, 2024), 42), "")</f>
        <v>2024</v>
      </c>
      <c r="I20" s="2"/>
      <c r="J20" s="2"/>
      <c r="K20" s="2"/>
    </row>
    <row r="21" customFormat="false" ht="15" hidden="false" customHeight="false" outlineLevel="0" collapsed="false">
      <c r="A21" s="5"/>
      <c r="B21" s="5" t="str">
        <f aca="false">IF(20&lt;=Settings!$C$6, "PushBlock", "")</f>
        <v>PushBlock</v>
      </c>
      <c r="C21" s="5" t="str">
        <f aca="false">IF(20&lt;=Settings!$C$6, "PPO", "")</f>
        <v>PPO</v>
      </c>
      <c r="D21" s="6" t="n">
        <f aca="false">IF(20&lt;=Settings!$C$6, IF(Settings!$C$7="Random", CHOOSE(com.sun.star.sheet.addin.Analysis.getRandbetween(1,4), 0.0001, 0.0003, 0.0005, 0.001), 0.0003), "")</f>
        <v>0.0001</v>
      </c>
      <c r="E21" s="7" t="n">
        <f aca="false">IF(20&lt;=Settings!$C$6, IF(Settings!$C$7="Random", CHOOSE(com.sun.star.sheet.addin.Analysis.getRandbetween(1,3), 64, 128, 256), 128), "")</f>
        <v>64</v>
      </c>
      <c r="F21" s="7" t="n">
        <f aca="false">IF(20&lt;=Settings!$C$6, IF(Settings!$C$7="Random", CHOOSE(com.sun.star.sheet.addin.Analysis.getRandbetween(1,3), 1024, 2048, 4096), 2048), "")</f>
        <v>1024</v>
      </c>
      <c r="G21" s="7" t="n">
        <f aca="false">IF(20&lt;=Settings!$C$6, 500000, "")</f>
        <v>500000</v>
      </c>
      <c r="H21" s="7" t="n">
        <f aca="false">IF(20&lt;=Settings!$C$6, IF(Settings!$C$7="Random", CHOOSE(com.sun.star.sheet.addin.Analysis.getRandbetween(1,3), 42, 101, 2024), 42), "")</f>
        <v>2024</v>
      </c>
      <c r="I21" s="5"/>
      <c r="J21" s="5"/>
      <c r="K21" s="5"/>
    </row>
    <row r="22" customFormat="false" ht="15" hidden="false" customHeight="false" outlineLevel="0" collapsed="false">
      <c r="A22" s="2"/>
      <c r="B22" s="2" t="str">
        <f aca="false">IF(21&lt;=Settings!$C$6, "PushBlock", "")</f>
        <v/>
      </c>
      <c r="C22" s="2" t="str">
        <f aca="false">IF(21&lt;=Settings!$C$6, "PPO", "")</f>
        <v/>
      </c>
      <c r="D22" s="3" t="str">
        <f aca="false">IF(21&lt;=Settings!$C$6, IF(Settings!$C$7="Random", CHOOSE(com.sun.star.sheet.addin.Analysis.getRandbetween(1,4), 0.0001, 0.0003, 0.0005, 0.001), 0.0003), "")</f>
        <v/>
      </c>
      <c r="E22" s="4" t="str">
        <f aca="false">IF(21&lt;=Settings!$C$6, IF(Settings!$C$7="Random", CHOOSE(com.sun.star.sheet.addin.Analysis.getRandbetween(1,3), 64, 128, 256), 128), "")</f>
        <v/>
      </c>
      <c r="F22" s="4" t="str">
        <f aca="false">IF(21&lt;=Settings!$C$6, IF(Settings!$C$7="Random", CHOOSE(com.sun.star.sheet.addin.Analysis.getRandbetween(1,3), 1024, 2048, 4096), 2048), "")</f>
        <v/>
      </c>
      <c r="G22" s="4" t="str">
        <f aca="false">IF(21&lt;=Settings!$C$6, 500000, "")</f>
        <v/>
      </c>
      <c r="H22" s="4" t="str">
        <f aca="false">IF(21&lt;=Settings!$C$6, IF(Settings!$C$7="Random", CHOOSE(com.sun.star.sheet.addin.Analysis.getRandbetween(1,3), 42, 101, 2024), 42), "")</f>
        <v/>
      </c>
      <c r="I22" s="2"/>
      <c r="J22" s="2"/>
      <c r="K22" s="2"/>
    </row>
    <row r="23" customFormat="false" ht="15" hidden="false" customHeight="false" outlineLevel="0" collapsed="false">
      <c r="A23" s="5"/>
      <c r="B23" s="5" t="str">
        <f aca="false">IF(22&lt;=Settings!$C$6, "PushBlock", "")</f>
        <v/>
      </c>
      <c r="C23" s="5" t="str">
        <f aca="false">IF(22&lt;=Settings!$C$6, "PPO", "")</f>
        <v/>
      </c>
      <c r="D23" s="6" t="str">
        <f aca="false">IF(22&lt;=Settings!$C$6, IF(Settings!$C$7="Random", CHOOSE(com.sun.star.sheet.addin.Analysis.getRandbetween(1,4), 0.0001, 0.0003, 0.0005, 0.001), 0.0003), "")</f>
        <v/>
      </c>
      <c r="E23" s="7" t="str">
        <f aca="false">IF(22&lt;=Settings!$C$6, IF(Settings!$C$7="Random", CHOOSE(com.sun.star.sheet.addin.Analysis.getRandbetween(1,3), 64, 128, 256), 128), "")</f>
        <v/>
      </c>
      <c r="F23" s="7" t="str">
        <f aca="false">IF(22&lt;=Settings!$C$6, IF(Settings!$C$7="Random", CHOOSE(com.sun.star.sheet.addin.Analysis.getRandbetween(1,3), 1024, 2048, 4096), 2048), "")</f>
        <v/>
      </c>
      <c r="G23" s="7" t="str">
        <f aca="false">IF(22&lt;=Settings!$C$6, 500000, "")</f>
        <v/>
      </c>
      <c r="H23" s="7" t="str">
        <f aca="false">IF(22&lt;=Settings!$C$6, IF(Settings!$C$7="Random", CHOOSE(com.sun.star.sheet.addin.Analysis.getRandbetween(1,3), 42, 101, 2024), 42), "")</f>
        <v/>
      </c>
      <c r="I23" s="5"/>
      <c r="J23" s="5"/>
      <c r="K23" s="5"/>
    </row>
    <row r="24" customFormat="false" ht="15" hidden="false" customHeight="false" outlineLevel="0" collapsed="false">
      <c r="A24" s="2"/>
      <c r="B24" s="2" t="str">
        <f aca="false">IF(23&lt;=Settings!$C$6, "PushBlock", "")</f>
        <v/>
      </c>
      <c r="C24" s="2" t="str">
        <f aca="false">IF(23&lt;=Settings!$C$6, "PPO", "")</f>
        <v/>
      </c>
      <c r="D24" s="3" t="str">
        <f aca="false">IF(23&lt;=Settings!$C$6, IF(Settings!$C$7="Random", CHOOSE(com.sun.star.sheet.addin.Analysis.getRandbetween(1,4), 0.0001, 0.0003, 0.0005, 0.001), 0.0003), "")</f>
        <v/>
      </c>
      <c r="E24" s="4" t="str">
        <f aca="false">IF(23&lt;=Settings!$C$6, IF(Settings!$C$7="Random", CHOOSE(com.sun.star.sheet.addin.Analysis.getRandbetween(1,3), 64, 128, 256), 128), "")</f>
        <v/>
      </c>
      <c r="F24" s="4" t="str">
        <f aca="false">IF(23&lt;=Settings!$C$6, IF(Settings!$C$7="Random", CHOOSE(com.sun.star.sheet.addin.Analysis.getRandbetween(1,3), 1024, 2048, 4096), 2048), "")</f>
        <v/>
      </c>
      <c r="G24" s="4" t="str">
        <f aca="false">IF(23&lt;=Settings!$C$6, 500000, "")</f>
        <v/>
      </c>
      <c r="H24" s="4" t="str">
        <f aca="false">IF(23&lt;=Settings!$C$6, IF(Settings!$C$7="Random", CHOOSE(com.sun.star.sheet.addin.Analysis.getRandbetween(1,3), 42, 101, 2024), 42), "")</f>
        <v/>
      </c>
      <c r="I24" s="2"/>
      <c r="J24" s="2"/>
      <c r="K24" s="2"/>
    </row>
    <row r="25" customFormat="false" ht="15" hidden="false" customHeight="false" outlineLevel="0" collapsed="false">
      <c r="A25" s="5"/>
      <c r="B25" s="5" t="str">
        <f aca="false">IF(24&lt;=Settings!$C$6, "PushBlock", "")</f>
        <v/>
      </c>
      <c r="C25" s="5" t="str">
        <f aca="false">IF(24&lt;=Settings!$C$6, "PPO", "")</f>
        <v/>
      </c>
      <c r="D25" s="6" t="str">
        <f aca="false">IF(24&lt;=Settings!$C$6, IF(Settings!$C$7="Random", CHOOSE(com.sun.star.sheet.addin.Analysis.getRandbetween(1,4), 0.0001, 0.0003, 0.0005, 0.001), 0.0003), "")</f>
        <v/>
      </c>
      <c r="E25" s="7" t="str">
        <f aca="false">IF(24&lt;=Settings!$C$6, IF(Settings!$C$7="Random", CHOOSE(com.sun.star.sheet.addin.Analysis.getRandbetween(1,3), 64, 128, 256), 128), "")</f>
        <v/>
      </c>
      <c r="F25" s="7" t="str">
        <f aca="false">IF(24&lt;=Settings!$C$6, IF(Settings!$C$7="Random", CHOOSE(com.sun.star.sheet.addin.Analysis.getRandbetween(1,3), 1024, 2048, 4096), 2048), "")</f>
        <v/>
      </c>
      <c r="G25" s="7" t="str">
        <f aca="false">IF(24&lt;=Settings!$C$6, 500000, "")</f>
        <v/>
      </c>
      <c r="H25" s="7" t="str">
        <f aca="false">IF(24&lt;=Settings!$C$6, IF(Settings!$C$7="Random", CHOOSE(com.sun.star.sheet.addin.Analysis.getRandbetween(1,3), 42, 101, 2024), 42), "")</f>
        <v/>
      </c>
      <c r="I25" s="5"/>
      <c r="J25" s="5"/>
      <c r="K25" s="5"/>
    </row>
    <row r="26" customFormat="false" ht="15" hidden="false" customHeight="false" outlineLevel="0" collapsed="false">
      <c r="A26" s="2"/>
      <c r="B26" s="2" t="str">
        <f aca="false">IF(25&lt;=Settings!$C$6, "PushBlock", "")</f>
        <v/>
      </c>
      <c r="C26" s="2" t="str">
        <f aca="false">IF(25&lt;=Settings!$C$6, "PPO", "")</f>
        <v/>
      </c>
      <c r="D26" s="3" t="str">
        <f aca="false">IF(25&lt;=Settings!$C$6, IF(Settings!$C$7="Random", CHOOSE(com.sun.star.sheet.addin.Analysis.getRandbetween(1,4), 0.0001, 0.0003, 0.0005, 0.001), 0.0003), "")</f>
        <v/>
      </c>
      <c r="E26" s="4" t="str">
        <f aca="false">IF(25&lt;=Settings!$C$6, IF(Settings!$C$7="Random", CHOOSE(com.sun.star.sheet.addin.Analysis.getRandbetween(1,3), 64, 128, 256), 128), "")</f>
        <v/>
      </c>
      <c r="F26" s="4" t="str">
        <f aca="false">IF(25&lt;=Settings!$C$6, IF(Settings!$C$7="Random", CHOOSE(com.sun.star.sheet.addin.Analysis.getRandbetween(1,3), 1024, 2048, 4096), 2048), "")</f>
        <v/>
      </c>
      <c r="G26" s="4" t="str">
        <f aca="false">IF(25&lt;=Settings!$C$6, 500000, "")</f>
        <v/>
      </c>
      <c r="H26" s="4" t="str">
        <f aca="false">IF(25&lt;=Settings!$C$6, IF(Settings!$C$7="Random", CHOOSE(com.sun.star.sheet.addin.Analysis.getRandbetween(1,3), 42, 101, 2024), 42), "")</f>
        <v/>
      </c>
      <c r="I26" s="2"/>
      <c r="J26" s="2"/>
      <c r="K26" s="2"/>
    </row>
    <row r="27" customFormat="false" ht="15" hidden="false" customHeight="false" outlineLevel="0" collapsed="false">
      <c r="A27" s="5"/>
      <c r="B27" s="5" t="str">
        <f aca="false">IF(26&lt;=Settings!$C$6, "PushBlock", "")</f>
        <v/>
      </c>
      <c r="C27" s="5" t="str">
        <f aca="false">IF(26&lt;=Settings!$C$6, "PPO", "")</f>
        <v/>
      </c>
      <c r="D27" s="6" t="str">
        <f aca="false">IF(26&lt;=Settings!$C$6, IF(Settings!$C$7="Random", CHOOSE(com.sun.star.sheet.addin.Analysis.getRandbetween(1,4), 0.0001, 0.0003, 0.0005, 0.001), 0.0003), "")</f>
        <v/>
      </c>
      <c r="E27" s="7" t="str">
        <f aca="false">IF(26&lt;=Settings!$C$6, IF(Settings!$C$7="Random", CHOOSE(com.sun.star.sheet.addin.Analysis.getRandbetween(1,3), 64, 128, 256), 128), "")</f>
        <v/>
      </c>
      <c r="F27" s="7" t="str">
        <f aca="false">IF(26&lt;=Settings!$C$6, IF(Settings!$C$7="Random", CHOOSE(com.sun.star.sheet.addin.Analysis.getRandbetween(1,3), 1024, 2048, 4096), 2048), "")</f>
        <v/>
      </c>
      <c r="G27" s="7" t="str">
        <f aca="false">IF(26&lt;=Settings!$C$6, 500000, "")</f>
        <v/>
      </c>
      <c r="H27" s="7" t="str">
        <f aca="false">IF(26&lt;=Settings!$C$6, IF(Settings!$C$7="Random", CHOOSE(com.sun.star.sheet.addin.Analysis.getRandbetween(1,3), 42, 101, 2024), 42), "")</f>
        <v/>
      </c>
      <c r="I27" s="5"/>
      <c r="J27" s="5"/>
      <c r="K27" s="5"/>
    </row>
    <row r="28" customFormat="false" ht="15" hidden="false" customHeight="false" outlineLevel="0" collapsed="false">
      <c r="A28" s="2"/>
      <c r="B28" s="2" t="str">
        <f aca="false">IF(27&lt;=Settings!$C$6, "PushBlock", "")</f>
        <v/>
      </c>
      <c r="C28" s="2" t="str">
        <f aca="false">IF(27&lt;=Settings!$C$6, "PPO", "")</f>
        <v/>
      </c>
      <c r="D28" s="3" t="str">
        <f aca="false">IF(27&lt;=Settings!$C$6, IF(Settings!$C$7="Random", CHOOSE(com.sun.star.sheet.addin.Analysis.getRandbetween(1,4), 0.0001, 0.0003, 0.0005, 0.001), 0.0003), "")</f>
        <v/>
      </c>
      <c r="E28" s="4" t="str">
        <f aca="false">IF(27&lt;=Settings!$C$6, IF(Settings!$C$7="Random", CHOOSE(com.sun.star.sheet.addin.Analysis.getRandbetween(1,3), 64, 128, 256), 128), "")</f>
        <v/>
      </c>
      <c r="F28" s="4" t="str">
        <f aca="false">IF(27&lt;=Settings!$C$6, IF(Settings!$C$7="Random", CHOOSE(com.sun.star.sheet.addin.Analysis.getRandbetween(1,3), 1024, 2048, 4096), 2048), "")</f>
        <v/>
      </c>
      <c r="G28" s="4" t="str">
        <f aca="false">IF(27&lt;=Settings!$C$6, 500000, "")</f>
        <v/>
      </c>
      <c r="H28" s="4" t="str">
        <f aca="false">IF(27&lt;=Settings!$C$6, IF(Settings!$C$7="Random", CHOOSE(com.sun.star.sheet.addin.Analysis.getRandbetween(1,3), 42, 101, 2024), 42), "")</f>
        <v/>
      </c>
      <c r="I28" s="2"/>
      <c r="J28" s="2"/>
      <c r="K28" s="2"/>
    </row>
    <row r="29" customFormat="false" ht="15" hidden="false" customHeight="false" outlineLevel="0" collapsed="false">
      <c r="A29" s="5"/>
      <c r="B29" s="5" t="str">
        <f aca="false">IF(28&lt;=Settings!$C$6, "PushBlock", "")</f>
        <v/>
      </c>
      <c r="C29" s="5" t="str">
        <f aca="false">IF(28&lt;=Settings!$C$6, "PPO", "")</f>
        <v/>
      </c>
      <c r="D29" s="6" t="str">
        <f aca="false">IF(28&lt;=Settings!$C$6, IF(Settings!$C$7="Random", CHOOSE(com.sun.star.sheet.addin.Analysis.getRandbetween(1,4), 0.0001, 0.0003, 0.0005, 0.001), 0.0003), "")</f>
        <v/>
      </c>
      <c r="E29" s="7" t="str">
        <f aca="false">IF(28&lt;=Settings!$C$6, IF(Settings!$C$7="Random", CHOOSE(com.sun.star.sheet.addin.Analysis.getRandbetween(1,3), 64, 128, 256), 128), "")</f>
        <v/>
      </c>
      <c r="F29" s="7" t="str">
        <f aca="false">IF(28&lt;=Settings!$C$6, IF(Settings!$C$7="Random", CHOOSE(com.sun.star.sheet.addin.Analysis.getRandbetween(1,3), 1024, 2048, 4096), 2048), "")</f>
        <v/>
      </c>
      <c r="G29" s="7" t="str">
        <f aca="false">IF(28&lt;=Settings!$C$6, 500000, "")</f>
        <v/>
      </c>
      <c r="H29" s="7" t="str">
        <f aca="false">IF(28&lt;=Settings!$C$6, IF(Settings!$C$7="Random", CHOOSE(com.sun.star.sheet.addin.Analysis.getRandbetween(1,3), 42, 101, 2024), 42), "")</f>
        <v/>
      </c>
      <c r="I29" s="5"/>
      <c r="J29" s="5"/>
      <c r="K29" s="5"/>
    </row>
    <row r="30" customFormat="false" ht="15" hidden="false" customHeight="false" outlineLevel="0" collapsed="false">
      <c r="A30" s="2"/>
      <c r="B30" s="2" t="str">
        <f aca="false">IF(29&lt;=Settings!$C$6, "PushBlock", "")</f>
        <v/>
      </c>
      <c r="C30" s="2" t="str">
        <f aca="false">IF(29&lt;=Settings!$C$6, "PPO", "")</f>
        <v/>
      </c>
      <c r="D30" s="3" t="str">
        <f aca="false">IF(29&lt;=Settings!$C$6, IF(Settings!$C$7="Random", CHOOSE(com.sun.star.sheet.addin.Analysis.getRandbetween(1,4), 0.0001, 0.0003, 0.0005, 0.001), 0.0003), "")</f>
        <v/>
      </c>
      <c r="E30" s="4" t="str">
        <f aca="false">IF(29&lt;=Settings!$C$6, IF(Settings!$C$7="Random", CHOOSE(com.sun.star.sheet.addin.Analysis.getRandbetween(1,3), 64, 128, 256), 128), "")</f>
        <v/>
      </c>
      <c r="F30" s="4" t="str">
        <f aca="false">IF(29&lt;=Settings!$C$6, IF(Settings!$C$7="Random", CHOOSE(com.sun.star.sheet.addin.Analysis.getRandbetween(1,3), 1024, 2048, 4096), 2048), "")</f>
        <v/>
      </c>
      <c r="G30" s="4" t="str">
        <f aca="false">IF(29&lt;=Settings!$C$6, 500000, "")</f>
        <v/>
      </c>
      <c r="H30" s="4" t="str">
        <f aca="false">IF(29&lt;=Settings!$C$6, IF(Settings!$C$7="Random", CHOOSE(com.sun.star.sheet.addin.Analysis.getRandbetween(1,3), 42, 101, 2024), 42), "")</f>
        <v/>
      </c>
      <c r="I30" s="2"/>
      <c r="J30" s="2"/>
      <c r="K30" s="2"/>
    </row>
    <row r="31" customFormat="false" ht="15" hidden="false" customHeight="false" outlineLevel="0" collapsed="false">
      <c r="A31" s="5"/>
      <c r="B31" s="5" t="str">
        <f aca="false">IF(30&lt;=Settings!$C$6, "PushBlock", "")</f>
        <v/>
      </c>
      <c r="C31" s="5" t="str">
        <f aca="false">IF(30&lt;=Settings!$C$6, "PPO", "")</f>
        <v/>
      </c>
      <c r="D31" s="6" t="str">
        <f aca="false">IF(30&lt;=Settings!$C$6, IF(Settings!$C$7="Random", CHOOSE(com.sun.star.sheet.addin.Analysis.getRandbetween(1,4), 0.0001, 0.0003, 0.0005, 0.001), 0.0003), "")</f>
        <v/>
      </c>
      <c r="E31" s="7" t="str">
        <f aca="false">IF(30&lt;=Settings!$C$6, IF(Settings!$C$7="Random", CHOOSE(com.sun.star.sheet.addin.Analysis.getRandbetween(1,3), 64, 128, 256), 128), "")</f>
        <v/>
      </c>
      <c r="F31" s="7" t="str">
        <f aca="false">IF(30&lt;=Settings!$C$6, IF(Settings!$C$7="Random", CHOOSE(com.sun.star.sheet.addin.Analysis.getRandbetween(1,3), 1024, 2048, 4096), 2048), "")</f>
        <v/>
      </c>
      <c r="G31" s="7" t="str">
        <f aca="false">IF(30&lt;=Settings!$C$6, 500000, "")</f>
        <v/>
      </c>
      <c r="H31" s="7" t="str">
        <f aca="false">IF(30&lt;=Settings!$C$6, IF(Settings!$C$7="Random", CHOOSE(com.sun.star.sheet.addin.Analysis.getRandbetween(1,3), 42, 101, 2024), 42), "")</f>
        <v/>
      </c>
      <c r="I31" s="5"/>
      <c r="J31" s="5"/>
      <c r="K31" s="5"/>
    </row>
    <row r="32" customFormat="false" ht="15" hidden="false" customHeight="false" outlineLevel="0" collapsed="false">
      <c r="A32" s="2"/>
      <c r="B32" s="2" t="str">
        <f aca="false">IF(31&lt;=Settings!$C$6, "PushBlock", "")</f>
        <v/>
      </c>
      <c r="C32" s="2" t="str">
        <f aca="false">IF(31&lt;=Settings!$C$6, "PPO", "")</f>
        <v/>
      </c>
      <c r="D32" s="3" t="str">
        <f aca="false">IF(31&lt;=Settings!$C$6, IF(Settings!$C$7="Random", CHOOSE(com.sun.star.sheet.addin.Analysis.getRandbetween(1,4), 0.0001, 0.0003, 0.0005, 0.001), 0.0003), "")</f>
        <v/>
      </c>
      <c r="E32" s="4" t="str">
        <f aca="false">IF(31&lt;=Settings!$C$6, IF(Settings!$C$7="Random", CHOOSE(com.sun.star.sheet.addin.Analysis.getRandbetween(1,3), 64, 128, 256), 128), "")</f>
        <v/>
      </c>
      <c r="F32" s="4" t="str">
        <f aca="false">IF(31&lt;=Settings!$C$6, IF(Settings!$C$7="Random", CHOOSE(com.sun.star.sheet.addin.Analysis.getRandbetween(1,3), 1024, 2048, 4096), 2048), "")</f>
        <v/>
      </c>
      <c r="G32" s="4" t="str">
        <f aca="false">IF(31&lt;=Settings!$C$6, 500000, "")</f>
        <v/>
      </c>
      <c r="H32" s="4" t="str">
        <f aca="false">IF(31&lt;=Settings!$C$6, IF(Settings!$C$7="Random", CHOOSE(com.sun.star.sheet.addin.Analysis.getRandbetween(1,3), 42, 101, 2024), 42), "")</f>
        <v/>
      </c>
      <c r="I32" s="2"/>
      <c r="J32" s="2"/>
      <c r="K32" s="2"/>
    </row>
    <row r="33" customFormat="false" ht="15" hidden="false" customHeight="false" outlineLevel="0" collapsed="false">
      <c r="A33" s="5"/>
      <c r="B33" s="5" t="str">
        <f aca="false">IF(32&lt;=Settings!$C$6, "PushBlock", "")</f>
        <v/>
      </c>
      <c r="C33" s="5" t="str">
        <f aca="false">IF(32&lt;=Settings!$C$6, "PPO", "")</f>
        <v/>
      </c>
      <c r="D33" s="6" t="str">
        <f aca="false">IF(32&lt;=Settings!$C$6, IF(Settings!$C$7="Random", CHOOSE(com.sun.star.sheet.addin.Analysis.getRandbetween(1,4), 0.0001, 0.0003, 0.0005, 0.001), 0.0003), "")</f>
        <v/>
      </c>
      <c r="E33" s="7" t="str">
        <f aca="false">IF(32&lt;=Settings!$C$6, IF(Settings!$C$7="Random", CHOOSE(com.sun.star.sheet.addin.Analysis.getRandbetween(1,3), 64, 128, 256), 128), "")</f>
        <v/>
      </c>
      <c r="F33" s="7" t="str">
        <f aca="false">IF(32&lt;=Settings!$C$6, IF(Settings!$C$7="Random", CHOOSE(com.sun.star.sheet.addin.Analysis.getRandbetween(1,3), 1024, 2048, 4096), 2048), "")</f>
        <v/>
      </c>
      <c r="G33" s="7" t="str">
        <f aca="false">IF(32&lt;=Settings!$C$6, 500000, "")</f>
        <v/>
      </c>
      <c r="H33" s="7" t="str">
        <f aca="false">IF(32&lt;=Settings!$C$6, IF(Settings!$C$7="Random", CHOOSE(com.sun.star.sheet.addin.Analysis.getRandbetween(1,3), 42, 101, 2024), 42), "")</f>
        <v/>
      </c>
      <c r="I33" s="5"/>
      <c r="J33" s="5"/>
      <c r="K33" s="5"/>
    </row>
    <row r="34" customFormat="false" ht="15" hidden="false" customHeight="false" outlineLevel="0" collapsed="false">
      <c r="A34" s="2"/>
      <c r="B34" s="2" t="str">
        <f aca="false">IF(33&lt;=Settings!$C$6, "PushBlock", "")</f>
        <v/>
      </c>
      <c r="C34" s="2" t="str">
        <f aca="false">IF(33&lt;=Settings!$C$6, "PPO", "")</f>
        <v/>
      </c>
      <c r="D34" s="3" t="str">
        <f aca="false">IF(33&lt;=Settings!$C$6, IF(Settings!$C$7="Random", CHOOSE(com.sun.star.sheet.addin.Analysis.getRandbetween(1,4), 0.0001, 0.0003, 0.0005, 0.001), 0.0003), "")</f>
        <v/>
      </c>
      <c r="E34" s="4" t="str">
        <f aca="false">IF(33&lt;=Settings!$C$6, IF(Settings!$C$7="Random", CHOOSE(com.sun.star.sheet.addin.Analysis.getRandbetween(1,3), 64, 128, 256), 128), "")</f>
        <v/>
      </c>
      <c r="F34" s="4" t="str">
        <f aca="false">IF(33&lt;=Settings!$C$6, IF(Settings!$C$7="Random", CHOOSE(com.sun.star.sheet.addin.Analysis.getRandbetween(1,3), 1024, 2048, 4096), 2048), "")</f>
        <v/>
      </c>
      <c r="G34" s="4" t="str">
        <f aca="false">IF(33&lt;=Settings!$C$6, 500000, "")</f>
        <v/>
      </c>
      <c r="H34" s="4" t="str">
        <f aca="false">IF(33&lt;=Settings!$C$6, IF(Settings!$C$7="Random", CHOOSE(com.sun.star.sheet.addin.Analysis.getRandbetween(1,3), 42, 101, 2024), 42), "")</f>
        <v/>
      </c>
      <c r="I34" s="2"/>
      <c r="J34" s="2"/>
      <c r="K34" s="2"/>
    </row>
    <row r="35" customFormat="false" ht="15" hidden="false" customHeight="false" outlineLevel="0" collapsed="false">
      <c r="A35" s="5"/>
      <c r="B35" s="5" t="str">
        <f aca="false">IF(34&lt;=Settings!$C$6, "PushBlock", "")</f>
        <v/>
      </c>
      <c r="C35" s="5" t="str">
        <f aca="false">IF(34&lt;=Settings!$C$6, "PPO", "")</f>
        <v/>
      </c>
      <c r="D35" s="6" t="str">
        <f aca="false">IF(34&lt;=Settings!$C$6, IF(Settings!$C$7="Random", CHOOSE(com.sun.star.sheet.addin.Analysis.getRandbetween(1,4), 0.0001, 0.0003, 0.0005, 0.001), 0.0003), "")</f>
        <v/>
      </c>
      <c r="E35" s="7" t="str">
        <f aca="false">IF(34&lt;=Settings!$C$6, IF(Settings!$C$7="Random", CHOOSE(com.sun.star.sheet.addin.Analysis.getRandbetween(1,3), 64, 128, 256), 128), "")</f>
        <v/>
      </c>
      <c r="F35" s="7" t="str">
        <f aca="false">IF(34&lt;=Settings!$C$6, IF(Settings!$C$7="Random", CHOOSE(com.sun.star.sheet.addin.Analysis.getRandbetween(1,3), 1024, 2048, 4096), 2048), "")</f>
        <v/>
      </c>
      <c r="G35" s="7" t="str">
        <f aca="false">IF(34&lt;=Settings!$C$6, 500000, "")</f>
        <v/>
      </c>
      <c r="H35" s="7" t="str">
        <f aca="false">IF(34&lt;=Settings!$C$6, IF(Settings!$C$7="Random", CHOOSE(com.sun.star.sheet.addin.Analysis.getRandbetween(1,3), 42, 101, 2024), 42), "")</f>
        <v/>
      </c>
      <c r="I35" s="5"/>
      <c r="J35" s="5"/>
      <c r="K35" s="5"/>
    </row>
    <row r="36" customFormat="false" ht="15" hidden="false" customHeight="false" outlineLevel="0" collapsed="false">
      <c r="A36" s="2"/>
      <c r="B36" s="2" t="str">
        <f aca="false">IF(35&lt;=Settings!$C$6, "PushBlock", "")</f>
        <v/>
      </c>
      <c r="C36" s="2" t="str">
        <f aca="false">IF(35&lt;=Settings!$C$6, "PPO", "")</f>
        <v/>
      </c>
      <c r="D36" s="3" t="str">
        <f aca="false">IF(35&lt;=Settings!$C$6, IF(Settings!$C$7="Random", CHOOSE(com.sun.star.sheet.addin.Analysis.getRandbetween(1,4), 0.0001, 0.0003, 0.0005, 0.001), 0.0003), "")</f>
        <v/>
      </c>
      <c r="E36" s="4" t="str">
        <f aca="false">IF(35&lt;=Settings!$C$6, IF(Settings!$C$7="Random", CHOOSE(com.sun.star.sheet.addin.Analysis.getRandbetween(1,3), 64, 128, 256), 128), "")</f>
        <v/>
      </c>
      <c r="F36" s="4" t="str">
        <f aca="false">IF(35&lt;=Settings!$C$6, IF(Settings!$C$7="Random", CHOOSE(com.sun.star.sheet.addin.Analysis.getRandbetween(1,3), 1024, 2048, 4096), 2048), "")</f>
        <v/>
      </c>
      <c r="G36" s="4" t="str">
        <f aca="false">IF(35&lt;=Settings!$C$6, 500000, "")</f>
        <v/>
      </c>
      <c r="H36" s="4" t="str">
        <f aca="false">IF(35&lt;=Settings!$C$6, IF(Settings!$C$7="Random", CHOOSE(com.sun.star.sheet.addin.Analysis.getRandbetween(1,3), 42, 101, 2024), 42), "")</f>
        <v/>
      </c>
      <c r="I36" s="2"/>
      <c r="J36" s="2"/>
      <c r="K36" s="2"/>
    </row>
    <row r="37" customFormat="false" ht="15" hidden="false" customHeight="false" outlineLevel="0" collapsed="false">
      <c r="A37" s="5"/>
      <c r="B37" s="5" t="str">
        <f aca="false">IF(36&lt;=Settings!$C$6, "PushBlock", "")</f>
        <v/>
      </c>
      <c r="C37" s="5" t="str">
        <f aca="false">IF(36&lt;=Settings!$C$6, "PPO", "")</f>
        <v/>
      </c>
      <c r="D37" s="6" t="str">
        <f aca="false">IF(36&lt;=Settings!$C$6, IF(Settings!$C$7="Random", CHOOSE(com.sun.star.sheet.addin.Analysis.getRandbetween(1,4), 0.0001, 0.0003, 0.0005, 0.001), 0.0003), "")</f>
        <v/>
      </c>
      <c r="E37" s="7" t="str">
        <f aca="false">IF(36&lt;=Settings!$C$6, IF(Settings!$C$7="Random", CHOOSE(com.sun.star.sheet.addin.Analysis.getRandbetween(1,3), 64, 128, 256), 128), "")</f>
        <v/>
      </c>
      <c r="F37" s="7" t="str">
        <f aca="false">IF(36&lt;=Settings!$C$6, IF(Settings!$C$7="Random", CHOOSE(com.sun.star.sheet.addin.Analysis.getRandbetween(1,3), 1024, 2048, 4096), 2048), "")</f>
        <v/>
      </c>
      <c r="G37" s="7" t="str">
        <f aca="false">IF(36&lt;=Settings!$C$6, 500000, "")</f>
        <v/>
      </c>
      <c r="H37" s="7" t="str">
        <f aca="false">IF(36&lt;=Settings!$C$6, IF(Settings!$C$7="Random", CHOOSE(com.sun.star.sheet.addin.Analysis.getRandbetween(1,3), 42, 101, 2024), 42), "")</f>
        <v/>
      </c>
      <c r="I37" s="5"/>
      <c r="J37" s="5"/>
      <c r="K37" s="5"/>
    </row>
    <row r="38" customFormat="false" ht="15" hidden="false" customHeight="false" outlineLevel="0" collapsed="false">
      <c r="A38" s="2"/>
      <c r="B38" s="2" t="str">
        <f aca="false">IF(37&lt;=Settings!$C$6, "PushBlock", "")</f>
        <v/>
      </c>
      <c r="C38" s="2" t="str">
        <f aca="false">IF(37&lt;=Settings!$C$6, "PPO", "")</f>
        <v/>
      </c>
      <c r="D38" s="3" t="str">
        <f aca="false">IF(37&lt;=Settings!$C$6, IF(Settings!$C$7="Random", CHOOSE(com.sun.star.sheet.addin.Analysis.getRandbetween(1,4), 0.0001, 0.0003, 0.0005, 0.001), 0.0003), "")</f>
        <v/>
      </c>
      <c r="E38" s="4" t="str">
        <f aca="false">IF(37&lt;=Settings!$C$6, IF(Settings!$C$7="Random", CHOOSE(com.sun.star.sheet.addin.Analysis.getRandbetween(1,3), 64, 128, 256), 128), "")</f>
        <v/>
      </c>
      <c r="F38" s="4" t="str">
        <f aca="false">IF(37&lt;=Settings!$C$6, IF(Settings!$C$7="Random", CHOOSE(com.sun.star.sheet.addin.Analysis.getRandbetween(1,3), 1024, 2048, 4096), 2048), "")</f>
        <v/>
      </c>
      <c r="G38" s="4" t="str">
        <f aca="false">IF(37&lt;=Settings!$C$6, 500000, "")</f>
        <v/>
      </c>
      <c r="H38" s="4" t="str">
        <f aca="false">IF(37&lt;=Settings!$C$6, IF(Settings!$C$7="Random", CHOOSE(com.sun.star.sheet.addin.Analysis.getRandbetween(1,3), 42, 101, 2024), 42), "")</f>
        <v/>
      </c>
      <c r="I38" s="2"/>
      <c r="J38" s="2"/>
      <c r="K38" s="2"/>
    </row>
    <row r="39" customFormat="false" ht="15" hidden="false" customHeight="false" outlineLevel="0" collapsed="false">
      <c r="A39" s="5"/>
      <c r="B39" s="5" t="str">
        <f aca="false">IF(38&lt;=Settings!$C$6, "PushBlock", "")</f>
        <v/>
      </c>
      <c r="C39" s="5" t="str">
        <f aca="false">IF(38&lt;=Settings!$C$6, "PPO", "")</f>
        <v/>
      </c>
      <c r="D39" s="6" t="str">
        <f aca="false">IF(38&lt;=Settings!$C$6, IF(Settings!$C$7="Random", CHOOSE(com.sun.star.sheet.addin.Analysis.getRandbetween(1,4), 0.0001, 0.0003, 0.0005, 0.001), 0.0003), "")</f>
        <v/>
      </c>
      <c r="E39" s="7" t="str">
        <f aca="false">IF(38&lt;=Settings!$C$6, IF(Settings!$C$7="Random", CHOOSE(com.sun.star.sheet.addin.Analysis.getRandbetween(1,3), 64, 128, 256), 128), "")</f>
        <v/>
      </c>
      <c r="F39" s="7" t="str">
        <f aca="false">IF(38&lt;=Settings!$C$6, IF(Settings!$C$7="Random", CHOOSE(com.sun.star.sheet.addin.Analysis.getRandbetween(1,3), 1024, 2048, 4096), 2048), "")</f>
        <v/>
      </c>
      <c r="G39" s="7" t="str">
        <f aca="false">IF(38&lt;=Settings!$C$6, 500000, "")</f>
        <v/>
      </c>
      <c r="H39" s="7" t="str">
        <f aca="false">IF(38&lt;=Settings!$C$6, IF(Settings!$C$7="Random", CHOOSE(com.sun.star.sheet.addin.Analysis.getRandbetween(1,3), 42, 101, 2024), 42), "")</f>
        <v/>
      </c>
      <c r="I39" s="5"/>
      <c r="J39" s="5"/>
      <c r="K39" s="5"/>
    </row>
    <row r="40" customFormat="false" ht="15" hidden="false" customHeight="false" outlineLevel="0" collapsed="false">
      <c r="A40" s="2"/>
      <c r="B40" s="2" t="str">
        <f aca="false">IF(39&lt;=Settings!$C$6, "PushBlock", "")</f>
        <v/>
      </c>
      <c r="C40" s="2" t="str">
        <f aca="false">IF(39&lt;=Settings!$C$6, "PPO", "")</f>
        <v/>
      </c>
      <c r="D40" s="3" t="str">
        <f aca="false">IF(39&lt;=Settings!$C$6, IF(Settings!$C$7="Random", CHOOSE(com.sun.star.sheet.addin.Analysis.getRandbetween(1,4), 0.0001, 0.0003, 0.0005, 0.001), 0.0003), "")</f>
        <v/>
      </c>
      <c r="E40" s="4" t="str">
        <f aca="false">IF(39&lt;=Settings!$C$6, IF(Settings!$C$7="Random", CHOOSE(com.sun.star.sheet.addin.Analysis.getRandbetween(1,3), 64, 128, 256), 128), "")</f>
        <v/>
      </c>
      <c r="F40" s="4" t="str">
        <f aca="false">IF(39&lt;=Settings!$C$6, IF(Settings!$C$7="Random", CHOOSE(com.sun.star.sheet.addin.Analysis.getRandbetween(1,3), 1024, 2048, 4096), 2048), "")</f>
        <v/>
      </c>
      <c r="G40" s="4" t="str">
        <f aca="false">IF(39&lt;=Settings!$C$6, 500000, "")</f>
        <v/>
      </c>
      <c r="H40" s="4" t="str">
        <f aca="false">IF(39&lt;=Settings!$C$6, IF(Settings!$C$7="Random", CHOOSE(com.sun.star.sheet.addin.Analysis.getRandbetween(1,3), 42, 101, 2024), 42), "")</f>
        <v/>
      </c>
      <c r="I40" s="2"/>
      <c r="J40" s="2"/>
      <c r="K40" s="2"/>
    </row>
    <row r="41" customFormat="false" ht="15" hidden="false" customHeight="false" outlineLevel="0" collapsed="false">
      <c r="A41" s="5"/>
      <c r="B41" s="5" t="str">
        <f aca="false">IF(40&lt;=Settings!$C$6, "PushBlock", "")</f>
        <v/>
      </c>
      <c r="C41" s="5" t="str">
        <f aca="false">IF(40&lt;=Settings!$C$6, "PPO", "")</f>
        <v/>
      </c>
      <c r="D41" s="6" t="str">
        <f aca="false">IF(40&lt;=Settings!$C$6, IF(Settings!$C$7="Random", CHOOSE(com.sun.star.sheet.addin.Analysis.getRandbetween(1,4), 0.0001, 0.0003, 0.0005, 0.001), 0.0003), "")</f>
        <v/>
      </c>
      <c r="E41" s="7" t="str">
        <f aca="false">IF(40&lt;=Settings!$C$6, IF(Settings!$C$7="Random", CHOOSE(com.sun.star.sheet.addin.Analysis.getRandbetween(1,3), 64, 128, 256), 128), "")</f>
        <v/>
      </c>
      <c r="F41" s="7" t="str">
        <f aca="false">IF(40&lt;=Settings!$C$6, IF(Settings!$C$7="Random", CHOOSE(com.sun.star.sheet.addin.Analysis.getRandbetween(1,3), 1024, 2048, 4096), 2048), "")</f>
        <v/>
      </c>
      <c r="G41" s="7" t="str">
        <f aca="false">IF(40&lt;=Settings!$C$6, 500000, "")</f>
        <v/>
      </c>
      <c r="H41" s="7" t="str">
        <f aca="false">IF(40&lt;=Settings!$C$6, IF(Settings!$C$7="Random", CHOOSE(com.sun.star.sheet.addin.Analysis.getRandbetween(1,3), 42, 101, 2024), 42), "")</f>
        <v/>
      </c>
      <c r="I41" s="5"/>
      <c r="J41" s="5"/>
      <c r="K41" s="5"/>
    </row>
    <row r="42" customFormat="false" ht="15" hidden="false" customHeight="false" outlineLevel="0" collapsed="false">
      <c r="A42" s="2"/>
      <c r="B42" s="2" t="str">
        <f aca="false">IF(41&lt;=Settings!$C$6, "PushBlock", "")</f>
        <v/>
      </c>
      <c r="C42" s="2" t="str">
        <f aca="false">IF(41&lt;=Settings!$C$6, "PPO", "")</f>
        <v/>
      </c>
      <c r="D42" s="3" t="str">
        <f aca="false">IF(41&lt;=Settings!$C$6, IF(Settings!$C$7="Random", CHOOSE(com.sun.star.sheet.addin.Analysis.getRandbetween(1,4), 0.0001, 0.0003, 0.0005, 0.001), 0.0003), "")</f>
        <v/>
      </c>
      <c r="E42" s="4" t="str">
        <f aca="false">IF(41&lt;=Settings!$C$6, IF(Settings!$C$7="Random", CHOOSE(com.sun.star.sheet.addin.Analysis.getRandbetween(1,3), 64, 128, 256), 128), "")</f>
        <v/>
      </c>
      <c r="F42" s="4" t="str">
        <f aca="false">IF(41&lt;=Settings!$C$6, IF(Settings!$C$7="Random", CHOOSE(com.sun.star.sheet.addin.Analysis.getRandbetween(1,3), 1024, 2048, 4096), 2048), "")</f>
        <v/>
      </c>
      <c r="G42" s="4" t="str">
        <f aca="false">IF(41&lt;=Settings!$C$6, 500000, "")</f>
        <v/>
      </c>
      <c r="H42" s="4" t="str">
        <f aca="false">IF(41&lt;=Settings!$C$6, IF(Settings!$C$7="Random", CHOOSE(com.sun.star.sheet.addin.Analysis.getRandbetween(1,3), 42, 101, 2024), 42), "")</f>
        <v/>
      </c>
      <c r="I42" s="2"/>
      <c r="J42" s="2"/>
      <c r="K42" s="2"/>
    </row>
    <row r="43" customFormat="false" ht="15" hidden="false" customHeight="false" outlineLevel="0" collapsed="false">
      <c r="A43" s="5"/>
      <c r="B43" s="5" t="str">
        <f aca="false">IF(42&lt;=Settings!$C$6, "PushBlock", "")</f>
        <v/>
      </c>
      <c r="C43" s="5" t="str">
        <f aca="false">IF(42&lt;=Settings!$C$6, "PPO", "")</f>
        <v/>
      </c>
      <c r="D43" s="6" t="str">
        <f aca="false">IF(42&lt;=Settings!$C$6, IF(Settings!$C$7="Random", CHOOSE(com.sun.star.sheet.addin.Analysis.getRandbetween(1,4), 0.0001, 0.0003, 0.0005, 0.001), 0.0003), "")</f>
        <v/>
      </c>
      <c r="E43" s="7" t="str">
        <f aca="false">IF(42&lt;=Settings!$C$6, IF(Settings!$C$7="Random", CHOOSE(com.sun.star.sheet.addin.Analysis.getRandbetween(1,3), 64, 128, 256), 128), "")</f>
        <v/>
      </c>
      <c r="F43" s="7" t="str">
        <f aca="false">IF(42&lt;=Settings!$C$6, IF(Settings!$C$7="Random", CHOOSE(com.sun.star.sheet.addin.Analysis.getRandbetween(1,3), 1024, 2048, 4096), 2048), "")</f>
        <v/>
      </c>
      <c r="G43" s="7" t="str">
        <f aca="false">IF(42&lt;=Settings!$C$6, 500000, "")</f>
        <v/>
      </c>
      <c r="H43" s="7" t="str">
        <f aca="false">IF(42&lt;=Settings!$C$6, IF(Settings!$C$7="Random", CHOOSE(com.sun.star.sheet.addin.Analysis.getRandbetween(1,3), 42, 101, 2024), 42), "")</f>
        <v/>
      </c>
      <c r="I43" s="5"/>
      <c r="J43" s="5"/>
      <c r="K43" s="5"/>
    </row>
    <row r="44" customFormat="false" ht="15" hidden="false" customHeight="false" outlineLevel="0" collapsed="false">
      <c r="A44" s="2"/>
      <c r="B44" s="2" t="str">
        <f aca="false">IF(43&lt;=Settings!$C$6, "PushBlock", "")</f>
        <v/>
      </c>
      <c r="C44" s="2" t="str">
        <f aca="false">IF(43&lt;=Settings!$C$6, "PPO", "")</f>
        <v/>
      </c>
      <c r="D44" s="3" t="str">
        <f aca="false">IF(43&lt;=Settings!$C$6, IF(Settings!$C$7="Random", CHOOSE(com.sun.star.sheet.addin.Analysis.getRandbetween(1,4), 0.0001, 0.0003, 0.0005, 0.001), 0.0003), "")</f>
        <v/>
      </c>
      <c r="E44" s="4" t="str">
        <f aca="false">IF(43&lt;=Settings!$C$6, IF(Settings!$C$7="Random", CHOOSE(com.sun.star.sheet.addin.Analysis.getRandbetween(1,3), 64, 128, 256), 128), "")</f>
        <v/>
      </c>
      <c r="F44" s="4" t="str">
        <f aca="false">IF(43&lt;=Settings!$C$6, IF(Settings!$C$7="Random", CHOOSE(com.sun.star.sheet.addin.Analysis.getRandbetween(1,3), 1024, 2048, 4096), 2048), "")</f>
        <v/>
      </c>
      <c r="G44" s="4" t="str">
        <f aca="false">IF(43&lt;=Settings!$C$6, 500000, "")</f>
        <v/>
      </c>
      <c r="H44" s="4" t="str">
        <f aca="false">IF(43&lt;=Settings!$C$6, IF(Settings!$C$7="Random", CHOOSE(com.sun.star.sheet.addin.Analysis.getRandbetween(1,3), 42, 101, 2024), 42), "")</f>
        <v/>
      </c>
      <c r="I44" s="2"/>
      <c r="J44" s="2"/>
      <c r="K44" s="2"/>
    </row>
    <row r="45" customFormat="false" ht="15" hidden="false" customHeight="false" outlineLevel="0" collapsed="false">
      <c r="A45" s="5"/>
      <c r="B45" s="5" t="str">
        <f aca="false">IF(44&lt;=Settings!$C$6, "PushBlock", "")</f>
        <v/>
      </c>
      <c r="C45" s="5" t="str">
        <f aca="false">IF(44&lt;=Settings!$C$6, "PPO", "")</f>
        <v/>
      </c>
      <c r="D45" s="6" t="str">
        <f aca="false">IF(44&lt;=Settings!$C$6, IF(Settings!$C$7="Random", CHOOSE(com.sun.star.sheet.addin.Analysis.getRandbetween(1,4), 0.0001, 0.0003, 0.0005, 0.001), 0.0003), "")</f>
        <v/>
      </c>
      <c r="E45" s="7" t="str">
        <f aca="false">IF(44&lt;=Settings!$C$6, IF(Settings!$C$7="Random", CHOOSE(com.sun.star.sheet.addin.Analysis.getRandbetween(1,3), 64, 128, 256), 128), "")</f>
        <v/>
      </c>
      <c r="F45" s="7" t="str">
        <f aca="false">IF(44&lt;=Settings!$C$6, IF(Settings!$C$7="Random", CHOOSE(com.sun.star.sheet.addin.Analysis.getRandbetween(1,3), 1024, 2048, 4096), 2048), "")</f>
        <v/>
      </c>
      <c r="G45" s="7" t="str">
        <f aca="false">IF(44&lt;=Settings!$C$6, 500000, "")</f>
        <v/>
      </c>
      <c r="H45" s="7" t="str">
        <f aca="false">IF(44&lt;=Settings!$C$6, IF(Settings!$C$7="Random", CHOOSE(com.sun.star.sheet.addin.Analysis.getRandbetween(1,3), 42, 101, 2024), 42), "")</f>
        <v/>
      </c>
      <c r="I45" s="5"/>
      <c r="J45" s="5"/>
      <c r="K45" s="5"/>
    </row>
    <row r="46" customFormat="false" ht="15" hidden="false" customHeight="false" outlineLevel="0" collapsed="false">
      <c r="A46" s="2"/>
      <c r="B46" s="2" t="str">
        <f aca="false">IF(45&lt;=Settings!$C$6, "PushBlock", "")</f>
        <v/>
      </c>
      <c r="C46" s="2" t="str">
        <f aca="false">IF(45&lt;=Settings!$C$6, "PPO", "")</f>
        <v/>
      </c>
      <c r="D46" s="3" t="str">
        <f aca="false">IF(45&lt;=Settings!$C$6, IF(Settings!$C$7="Random", CHOOSE(com.sun.star.sheet.addin.Analysis.getRandbetween(1,4), 0.0001, 0.0003, 0.0005, 0.001), 0.0003), "")</f>
        <v/>
      </c>
      <c r="E46" s="4" t="str">
        <f aca="false">IF(45&lt;=Settings!$C$6, IF(Settings!$C$7="Random", CHOOSE(com.sun.star.sheet.addin.Analysis.getRandbetween(1,3), 64, 128, 256), 128), "")</f>
        <v/>
      </c>
      <c r="F46" s="4" t="str">
        <f aca="false">IF(45&lt;=Settings!$C$6, IF(Settings!$C$7="Random", CHOOSE(com.sun.star.sheet.addin.Analysis.getRandbetween(1,3), 1024, 2048, 4096), 2048), "")</f>
        <v/>
      </c>
      <c r="G46" s="4" t="str">
        <f aca="false">IF(45&lt;=Settings!$C$6, 500000, "")</f>
        <v/>
      </c>
      <c r="H46" s="4" t="str">
        <f aca="false">IF(45&lt;=Settings!$C$6, IF(Settings!$C$7="Random", CHOOSE(com.sun.star.sheet.addin.Analysis.getRandbetween(1,3), 42, 101, 2024), 42), "")</f>
        <v/>
      </c>
      <c r="I46" s="2"/>
      <c r="J46" s="2"/>
      <c r="K46" s="2"/>
    </row>
    <row r="47" customFormat="false" ht="15" hidden="false" customHeight="false" outlineLevel="0" collapsed="false">
      <c r="A47" s="5"/>
      <c r="B47" s="5" t="str">
        <f aca="false">IF(46&lt;=Settings!$C$6, "PushBlock", "")</f>
        <v/>
      </c>
      <c r="C47" s="5" t="str">
        <f aca="false">IF(46&lt;=Settings!$C$6, "PPO", "")</f>
        <v/>
      </c>
      <c r="D47" s="6" t="str">
        <f aca="false">IF(46&lt;=Settings!$C$6, IF(Settings!$C$7="Random", CHOOSE(com.sun.star.sheet.addin.Analysis.getRandbetween(1,4), 0.0001, 0.0003, 0.0005, 0.001), 0.0003), "")</f>
        <v/>
      </c>
      <c r="E47" s="7" t="str">
        <f aca="false">IF(46&lt;=Settings!$C$6, IF(Settings!$C$7="Random", CHOOSE(com.sun.star.sheet.addin.Analysis.getRandbetween(1,3), 64, 128, 256), 128), "")</f>
        <v/>
      </c>
      <c r="F47" s="7" t="str">
        <f aca="false">IF(46&lt;=Settings!$C$6, IF(Settings!$C$7="Random", CHOOSE(com.sun.star.sheet.addin.Analysis.getRandbetween(1,3), 1024, 2048, 4096), 2048), "")</f>
        <v/>
      </c>
      <c r="G47" s="7" t="str">
        <f aca="false">IF(46&lt;=Settings!$C$6, 500000, "")</f>
        <v/>
      </c>
      <c r="H47" s="7" t="str">
        <f aca="false">IF(46&lt;=Settings!$C$6, IF(Settings!$C$7="Random", CHOOSE(com.sun.star.sheet.addin.Analysis.getRandbetween(1,3), 42, 101, 2024), 42), "")</f>
        <v/>
      </c>
      <c r="I47" s="5"/>
      <c r="J47" s="5"/>
      <c r="K47" s="5"/>
    </row>
    <row r="48" customFormat="false" ht="15" hidden="false" customHeight="false" outlineLevel="0" collapsed="false">
      <c r="A48" s="2"/>
      <c r="B48" s="2" t="str">
        <f aca="false">IF(47&lt;=Settings!$C$6, "PushBlock", "")</f>
        <v/>
      </c>
      <c r="C48" s="2" t="str">
        <f aca="false">IF(47&lt;=Settings!$C$6, "PPO", "")</f>
        <v/>
      </c>
      <c r="D48" s="3" t="str">
        <f aca="false">IF(47&lt;=Settings!$C$6, IF(Settings!$C$7="Random", CHOOSE(com.sun.star.sheet.addin.Analysis.getRandbetween(1,4), 0.0001, 0.0003, 0.0005, 0.001), 0.0003), "")</f>
        <v/>
      </c>
      <c r="E48" s="4" t="str">
        <f aca="false">IF(47&lt;=Settings!$C$6, IF(Settings!$C$7="Random", CHOOSE(com.sun.star.sheet.addin.Analysis.getRandbetween(1,3), 64, 128, 256), 128), "")</f>
        <v/>
      </c>
      <c r="F48" s="4" t="str">
        <f aca="false">IF(47&lt;=Settings!$C$6, IF(Settings!$C$7="Random", CHOOSE(com.sun.star.sheet.addin.Analysis.getRandbetween(1,3), 1024, 2048, 4096), 2048), "")</f>
        <v/>
      </c>
      <c r="G48" s="4" t="str">
        <f aca="false">IF(47&lt;=Settings!$C$6, 500000, "")</f>
        <v/>
      </c>
      <c r="H48" s="4" t="str">
        <f aca="false">IF(47&lt;=Settings!$C$6, IF(Settings!$C$7="Random", CHOOSE(com.sun.star.sheet.addin.Analysis.getRandbetween(1,3), 42, 101, 2024), 42), "")</f>
        <v/>
      </c>
      <c r="I48" s="2"/>
      <c r="J48" s="2"/>
      <c r="K48" s="2"/>
    </row>
    <row r="49" customFormat="false" ht="15" hidden="false" customHeight="false" outlineLevel="0" collapsed="false">
      <c r="A49" s="5"/>
      <c r="B49" s="5" t="str">
        <f aca="false">IF(48&lt;=Settings!$C$6, "PushBlock", "")</f>
        <v/>
      </c>
      <c r="C49" s="5" t="str">
        <f aca="false">IF(48&lt;=Settings!$C$6, "PPO", "")</f>
        <v/>
      </c>
      <c r="D49" s="6" t="str">
        <f aca="false">IF(48&lt;=Settings!$C$6, IF(Settings!$C$7="Random", CHOOSE(com.sun.star.sheet.addin.Analysis.getRandbetween(1,4), 0.0001, 0.0003, 0.0005, 0.001), 0.0003), "")</f>
        <v/>
      </c>
      <c r="E49" s="7" t="str">
        <f aca="false">IF(48&lt;=Settings!$C$6, IF(Settings!$C$7="Random", CHOOSE(com.sun.star.sheet.addin.Analysis.getRandbetween(1,3), 64, 128, 256), 128), "")</f>
        <v/>
      </c>
      <c r="F49" s="7" t="str">
        <f aca="false">IF(48&lt;=Settings!$C$6, IF(Settings!$C$7="Random", CHOOSE(com.sun.star.sheet.addin.Analysis.getRandbetween(1,3), 1024, 2048, 4096), 2048), "")</f>
        <v/>
      </c>
      <c r="G49" s="7" t="str">
        <f aca="false">IF(48&lt;=Settings!$C$6, 500000, "")</f>
        <v/>
      </c>
      <c r="H49" s="7" t="str">
        <f aca="false">IF(48&lt;=Settings!$C$6, IF(Settings!$C$7="Random", CHOOSE(com.sun.star.sheet.addin.Analysis.getRandbetween(1,3), 42, 101, 2024), 42), "")</f>
        <v/>
      </c>
      <c r="I49" s="5"/>
      <c r="J49" s="5"/>
      <c r="K49" s="5"/>
    </row>
    <row r="50" customFormat="false" ht="15" hidden="false" customHeight="false" outlineLevel="0" collapsed="false">
      <c r="A50" s="2"/>
      <c r="B50" s="2" t="str">
        <f aca="false">IF(49&lt;=Settings!$C$6, "PushBlock", "")</f>
        <v/>
      </c>
      <c r="C50" s="2" t="str">
        <f aca="false">IF(49&lt;=Settings!$C$6, "PPO", "")</f>
        <v/>
      </c>
      <c r="D50" s="3" t="str">
        <f aca="false">IF(49&lt;=Settings!$C$6, IF(Settings!$C$7="Random", CHOOSE(com.sun.star.sheet.addin.Analysis.getRandbetween(1,4), 0.0001, 0.0003, 0.0005, 0.001), 0.0003), "")</f>
        <v/>
      </c>
      <c r="E50" s="4" t="str">
        <f aca="false">IF(49&lt;=Settings!$C$6, IF(Settings!$C$7="Random", CHOOSE(com.sun.star.sheet.addin.Analysis.getRandbetween(1,3), 64, 128, 256), 128), "")</f>
        <v/>
      </c>
      <c r="F50" s="4" t="str">
        <f aca="false">IF(49&lt;=Settings!$C$6, IF(Settings!$C$7="Random", CHOOSE(com.sun.star.sheet.addin.Analysis.getRandbetween(1,3), 1024, 2048, 4096), 2048), "")</f>
        <v/>
      </c>
      <c r="G50" s="4" t="str">
        <f aca="false">IF(49&lt;=Settings!$C$6, 500000, "")</f>
        <v/>
      </c>
      <c r="H50" s="4" t="str">
        <f aca="false">IF(49&lt;=Settings!$C$6, IF(Settings!$C$7="Random", CHOOSE(com.sun.star.sheet.addin.Analysis.getRandbetween(1,3), 42, 101, 2024), 42), "")</f>
        <v/>
      </c>
      <c r="I50" s="2"/>
      <c r="J50" s="2"/>
      <c r="K50" s="2"/>
    </row>
    <row r="51" customFormat="false" ht="15" hidden="false" customHeight="false" outlineLevel="0" collapsed="false">
      <c r="A51" s="5"/>
      <c r="B51" s="5" t="str">
        <f aca="false">IF(50&lt;=Settings!$C$6, "PushBlock", "")</f>
        <v/>
      </c>
      <c r="C51" s="5" t="str">
        <f aca="false">IF(50&lt;=Settings!$C$6, "PPO", "")</f>
        <v/>
      </c>
      <c r="D51" s="6" t="str">
        <f aca="false">IF(50&lt;=Settings!$C$6, IF(Settings!$C$7="Random", CHOOSE(com.sun.star.sheet.addin.Analysis.getRandbetween(1,4), 0.0001, 0.0003, 0.0005, 0.001), 0.0003), "")</f>
        <v/>
      </c>
      <c r="E51" s="7" t="str">
        <f aca="false">IF(50&lt;=Settings!$C$6, IF(Settings!$C$7="Random", CHOOSE(com.sun.star.sheet.addin.Analysis.getRandbetween(1,3), 64, 128, 256), 128), "")</f>
        <v/>
      </c>
      <c r="F51" s="7" t="str">
        <f aca="false">IF(50&lt;=Settings!$C$6, IF(Settings!$C$7="Random", CHOOSE(com.sun.star.sheet.addin.Analysis.getRandbetween(1,3), 1024, 2048, 4096), 2048), "")</f>
        <v/>
      </c>
      <c r="G51" s="7" t="str">
        <f aca="false">IF(50&lt;=Settings!$C$6, 500000, "")</f>
        <v/>
      </c>
      <c r="H51" s="7" t="str">
        <f aca="false">IF(50&lt;=Settings!$C$6, IF(Settings!$C$7="Random", CHOOSE(com.sun.star.sheet.addin.Analysis.getRandbetween(1,3), 42, 101, 2024), 42), "")</f>
        <v/>
      </c>
      <c r="I51" s="5"/>
      <c r="J51" s="5"/>
      <c r="K51" s="5"/>
    </row>
    <row r="52" customFormat="false" ht="15" hidden="false" customHeight="false" outlineLevel="0" collapsed="false">
      <c r="A52" s="2"/>
      <c r="B52" s="2" t="str">
        <f aca="false">IF(51&lt;=Settings!$C$6, "PushBlock", "")</f>
        <v/>
      </c>
      <c r="C52" s="2" t="str">
        <f aca="false">IF(51&lt;=Settings!$C$6, "PPO", "")</f>
        <v/>
      </c>
      <c r="D52" s="3" t="str">
        <f aca="false">IF(51&lt;=Settings!$C$6, IF(Settings!$C$7="Random", CHOOSE(com.sun.star.sheet.addin.Analysis.getRandbetween(1,4), 0.0001, 0.0003, 0.0005, 0.001), 0.0003), "")</f>
        <v/>
      </c>
      <c r="E52" s="4" t="str">
        <f aca="false">IF(51&lt;=Settings!$C$6, IF(Settings!$C$7="Random", CHOOSE(com.sun.star.sheet.addin.Analysis.getRandbetween(1,3), 64, 128, 256), 128), "")</f>
        <v/>
      </c>
      <c r="F52" s="4" t="str">
        <f aca="false">IF(51&lt;=Settings!$C$6, IF(Settings!$C$7="Random", CHOOSE(com.sun.star.sheet.addin.Analysis.getRandbetween(1,3), 1024, 2048, 4096), 2048), "")</f>
        <v/>
      </c>
      <c r="G52" s="4" t="str">
        <f aca="false">IF(51&lt;=Settings!$C$6, 500000, "")</f>
        <v/>
      </c>
      <c r="H52" s="4" t="str">
        <f aca="false">IF(51&lt;=Settings!$C$6, IF(Settings!$C$7="Random", CHOOSE(com.sun.star.sheet.addin.Analysis.getRandbetween(1,3), 42, 101, 2024), 42), "")</f>
        <v/>
      </c>
      <c r="I52" s="2"/>
      <c r="J52" s="2"/>
      <c r="K52" s="2"/>
    </row>
    <row r="53" customFormat="false" ht="15" hidden="false" customHeight="false" outlineLevel="0" collapsed="false">
      <c r="A53" s="5"/>
      <c r="B53" s="5" t="str">
        <f aca="false">IF(52&lt;=Settings!$C$6, "PushBlock", "")</f>
        <v/>
      </c>
      <c r="C53" s="5" t="str">
        <f aca="false">IF(52&lt;=Settings!$C$6, "PPO", "")</f>
        <v/>
      </c>
      <c r="D53" s="6" t="str">
        <f aca="false">IF(52&lt;=Settings!$C$6, IF(Settings!$C$7="Random", CHOOSE(com.sun.star.sheet.addin.Analysis.getRandbetween(1,4), 0.0001, 0.0003, 0.0005, 0.001), 0.0003), "")</f>
        <v/>
      </c>
      <c r="E53" s="7" t="str">
        <f aca="false">IF(52&lt;=Settings!$C$6, IF(Settings!$C$7="Random", CHOOSE(com.sun.star.sheet.addin.Analysis.getRandbetween(1,3), 64, 128, 256), 128), "")</f>
        <v/>
      </c>
      <c r="F53" s="7" t="str">
        <f aca="false">IF(52&lt;=Settings!$C$6, IF(Settings!$C$7="Random", CHOOSE(com.sun.star.sheet.addin.Analysis.getRandbetween(1,3), 1024, 2048, 4096), 2048), "")</f>
        <v/>
      </c>
      <c r="G53" s="7" t="str">
        <f aca="false">IF(52&lt;=Settings!$C$6, 500000, "")</f>
        <v/>
      </c>
      <c r="H53" s="7" t="str">
        <f aca="false">IF(52&lt;=Settings!$C$6, IF(Settings!$C$7="Random", CHOOSE(com.sun.star.sheet.addin.Analysis.getRandbetween(1,3), 42, 101, 2024), 42), "")</f>
        <v/>
      </c>
      <c r="I53" s="5"/>
      <c r="J53" s="5"/>
      <c r="K53" s="5"/>
    </row>
    <row r="54" customFormat="false" ht="15" hidden="false" customHeight="false" outlineLevel="0" collapsed="false">
      <c r="A54" s="2"/>
      <c r="B54" s="2" t="str">
        <f aca="false">IF(53&lt;=Settings!$C$6, "PushBlock", "")</f>
        <v/>
      </c>
      <c r="C54" s="2" t="str">
        <f aca="false">IF(53&lt;=Settings!$C$6, "PPO", "")</f>
        <v/>
      </c>
      <c r="D54" s="3" t="str">
        <f aca="false">IF(53&lt;=Settings!$C$6, IF(Settings!$C$7="Random", CHOOSE(com.sun.star.sheet.addin.Analysis.getRandbetween(1,4), 0.0001, 0.0003, 0.0005, 0.001), 0.0003), "")</f>
        <v/>
      </c>
      <c r="E54" s="4" t="str">
        <f aca="false">IF(53&lt;=Settings!$C$6, IF(Settings!$C$7="Random", CHOOSE(com.sun.star.sheet.addin.Analysis.getRandbetween(1,3), 64, 128, 256), 128), "")</f>
        <v/>
      </c>
      <c r="F54" s="4" t="str">
        <f aca="false">IF(53&lt;=Settings!$C$6, IF(Settings!$C$7="Random", CHOOSE(com.sun.star.sheet.addin.Analysis.getRandbetween(1,3), 1024, 2048, 4096), 2048), "")</f>
        <v/>
      </c>
      <c r="G54" s="4" t="str">
        <f aca="false">IF(53&lt;=Settings!$C$6, 500000, "")</f>
        <v/>
      </c>
      <c r="H54" s="4" t="str">
        <f aca="false">IF(53&lt;=Settings!$C$6, IF(Settings!$C$7="Random", CHOOSE(com.sun.star.sheet.addin.Analysis.getRandbetween(1,3), 42, 101, 2024), 42), "")</f>
        <v/>
      </c>
      <c r="I54" s="2"/>
      <c r="J54" s="2"/>
      <c r="K54" s="2"/>
    </row>
    <row r="55" customFormat="false" ht="15" hidden="false" customHeight="false" outlineLevel="0" collapsed="false">
      <c r="A55" s="5"/>
      <c r="B55" s="5" t="str">
        <f aca="false">IF(54&lt;=Settings!$C$6, "PushBlock", "")</f>
        <v/>
      </c>
      <c r="C55" s="5" t="str">
        <f aca="false">IF(54&lt;=Settings!$C$6, "PPO", "")</f>
        <v/>
      </c>
      <c r="D55" s="6" t="str">
        <f aca="false">IF(54&lt;=Settings!$C$6, IF(Settings!$C$7="Random", CHOOSE(com.sun.star.sheet.addin.Analysis.getRandbetween(1,4), 0.0001, 0.0003, 0.0005, 0.001), 0.0003), "")</f>
        <v/>
      </c>
      <c r="E55" s="7" t="str">
        <f aca="false">IF(54&lt;=Settings!$C$6, IF(Settings!$C$7="Random", CHOOSE(com.sun.star.sheet.addin.Analysis.getRandbetween(1,3), 64, 128, 256), 128), "")</f>
        <v/>
      </c>
      <c r="F55" s="7" t="str">
        <f aca="false">IF(54&lt;=Settings!$C$6, IF(Settings!$C$7="Random", CHOOSE(com.sun.star.sheet.addin.Analysis.getRandbetween(1,3), 1024, 2048, 4096), 2048), "")</f>
        <v/>
      </c>
      <c r="G55" s="7" t="str">
        <f aca="false">IF(54&lt;=Settings!$C$6, 500000, "")</f>
        <v/>
      </c>
      <c r="H55" s="7" t="str">
        <f aca="false">IF(54&lt;=Settings!$C$6, IF(Settings!$C$7="Random", CHOOSE(com.sun.star.sheet.addin.Analysis.getRandbetween(1,3), 42, 101, 2024), 42), "")</f>
        <v/>
      </c>
      <c r="I55" s="5"/>
      <c r="J55" s="5"/>
      <c r="K55" s="5"/>
    </row>
    <row r="56" customFormat="false" ht="15" hidden="false" customHeight="false" outlineLevel="0" collapsed="false">
      <c r="A56" s="2"/>
      <c r="B56" s="2" t="str">
        <f aca="false">IF(55&lt;=Settings!$C$6, "PushBlock", "")</f>
        <v/>
      </c>
      <c r="C56" s="2" t="str">
        <f aca="false">IF(55&lt;=Settings!$C$6, "PPO", "")</f>
        <v/>
      </c>
      <c r="D56" s="3" t="str">
        <f aca="false">IF(55&lt;=Settings!$C$6, IF(Settings!$C$7="Random", CHOOSE(com.sun.star.sheet.addin.Analysis.getRandbetween(1,4), 0.0001, 0.0003, 0.0005, 0.001), 0.0003), "")</f>
        <v/>
      </c>
      <c r="E56" s="4" t="str">
        <f aca="false">IF(55&lt;=Settings!$C$6, IF(Settings!$C$7="Random", CHOOSE(com.sun.star.sheet.addin.Analysis.getRandbetween(1,3), 64, 128, 256), 128), "")</f>
        <v/>
      </c>
      <c r="F56" s="4" t="str">
        <f aca="false">IF(55&lt;=Settings!$C$6, IF(Settings!$C$7="Random", CHOOSE(com.sun.star.sheet.addin.Analysis.getRandbetween(1,3), 1024, 2048, 4096), 2048), "")</f>
        <v/>
      </c>
      <c r="G56" s="4" t="str">
        <f aca="false">IF(55&lt;=Settings!$C$6, 500000, "")</f>
        <v/>
      </c>
      <c r="H56" s="4" t="str">
        <f aca="false">IF(55&lt;=Settings!$C$6, IF(Settings!$C$7="Random", CHOOSE(com.sun.star.sheet.addin.Analysis.getRandbetween(1,3), 42, 101, 2024), 42), "")</f>
        <v/>
      </c>
      <c r="I56" s="2"/>
      <c r="J56" s="2"/>
      <c r="K56" s="2"/>
    </row>
    <row r="57" customFormat="false" ht="15" hidden="false" customHeight="false" outlineLevel="0" collapsed="false">
      <c r="A57" s="5"/>
      <c r="B57" s="5" t="str">
        <f aca="false">IF(56&lt;=Settings!$C$6, "PushBlock", "")</f>
        <v/>
      </c>
      <c r="C57" s="5" t="str">
        <f aca="false">IF(56&lt;=Settings!$C$6, "PPO", "")</f>
        <v/>
      </c>
      <c r="D57" s="6" t="str">
        <f aca="false">IF(56&lt;=Settings!$C$6, IF(Settings!$C$7="Random", CHOOSE(com.sun.star.sheet.addin.Analysis.getRandbetween(1,4), 0.0001, 0.0003, 0.0005, 0.001), 0.0003), "")</f>
        <v/>
      </c>
      <c r="E57" s="7" t="str">
        <f aca="false">IF(56&lt;=Settings!$C$6, IF(Settings!$C$7="Random", CHOOSE(com.sun.star.sheet.addin.Analysis.getRandbetween(1,3), 64, 128, 256), 128), "")</f>
        <v/>
      </c>
      <c r="F57" s="7" t="str">
        <f aca="false">IF(56&lt;=Settings!$C$6, IF(Settings!$C$7="Random", CHOOSE(com.sun.star.sheet.addin.Analysis.getRandbetween(1,3), 1024, 2048, 4096), 2048), "")</f>
        <v/>
      </c>
      <c r="G57" s="7" t="str">
        <f aca="false">IF(56&lt;=Settings!$C$6, 500000, "")</f>
        <v/>
      </c>
      <c r="H57" s="7" t="str">
        <f aca="false">IF(56&lt;=Settings!$C$6, IF(Settings!$C$7="Random", CHOOSE(com.sun.star.sheet.addin.Analysis.getRandbetween(1,3), 42, 101, 2024), 42), "")</f>
        <v/>
      </c>
      <c r="I57" s="5"/>
      <c r="J57" s="5"/>
      <c r="K57" s="5"/>
    </row>
    <row r="58" customFormat="false" ht="15" hidden="false" customHeight="false" outlineLevel="0" collapsed="false">
      <c r="A58" s="2"/>
      <c r="B58" s="2" t="str">
        <f aca="false">IF(57&lt;=Settings!$C$6, "PushBlock", "")</f>
        <v/>
      </c>
      <c r="C58" s="2" t="str">
        <f aca="false">IF(57&lt;=Settings!$C$6, "PPO", "")</f>
        <v/>
      </c>
      <c r="D58" s="3" t="str">
        <f aca="false">IF(57&lt;=Settings!$C$6, IF(Settings!$C$7="Random", CHOOSE(com.sun.star.sheet.addin.Analysis.getRandbetween(1,4), 0.0001, 0.0003, 0.0005, 0.001), 0.0003), "")</f>
        <v/>
      </c>
      <c r="E58" s="4" t="str">
        <f aca="false">IF(57&lt;=Settings!$C$6, IF(Settings!$C$7="Random", CHOOSE(com.sun.star.sheet.addin.Analysis.getRandbetween(1,3), 64, 128, 256), 128), "")</f>
        <v/>
      </c>
      <c r="F58" s="4" t="str">
        <f aca="false">IF(57&lt;=Settings!$C$6, IF(Settings!$C$7="Random", CHOOSE(com.sun.star.sheet.addin.Analysis.getRandbetween(1,3), 1024, 2048, 4096), 2048), "")</f>
        <v/>
      </c>
      <c r="G58" s="4" t="str">
        <f aca="false">IF(57&lt;=Settings!$C$6, 500000, "")</f>
        <v/>
      </c>
      <c r="H58" s="4" t="str">
        <f aca="false">IF(57&lt;=Settings!$C$6, IF(Settings!$C$7="Random", CHOOSE(com.sun.star.sheet.addin.Analysis.getRandbetween(1,3), 42, 101, 2024), 42), "")</f>
        <v/>
      </c>
      <c r="I58" s="2"/>
      <c r="J58" s="2"/>
      <c r="K58" s="2"/>
    </row>
    <row r="59" customFormat="false" ht="15" hidden="false" customHeight="false" outlineLevel="0" collapsed="false">
      <c r="A59" s="5"/>
      <c r="B59" s="5" t="str">
        <f aca="false">IF(58&lt;=Settings!$C$6, "PushBlock", "")</f>
        <v/>
      </c>
      <c r="C59" s="5" t="str">
        <f aca="false">IF(58&lt;=Settings!$C$6, "PPO", "")</f>
        <v/>
      </c>
      <c r="D59" s="6" t="str">
        <f aca="false">IF(58&lt;=Settings!$C$6, IF(Settings!$C$7="Random", CHOOSE(com.sun.star.sheet.addin.Analysis.getRandbetween(1,4), 0.0001, 0.0003, 0.0005, 0.001), 0.0003), "")</f>
        <v/>
      </c>
      <c r="E59" s="7" t="str">
        <f aca="false">IF(58&lt;=Settings!$C$6, IF(Settings!$C$7="Random", CHOOSE(com.sun.star.sheet.addin.Analysis.getRandbetween(1,3), 64, 128, 256), 128), "")</f>
        <v/>
      </c>
      <c r="F59" s="7" t="str">
        <f aca="false">IF(58&lt;=Settings!$C$6, IF(Settings!$C$7="Random", CHOOSE(com.sun.star.sheet.addin.Analysis.getRandbetween(1,3), 1024, 2048, 4096), 2048), "")</f>
        <v/>
      </c>
      <c r="G59" s="7" t="str">
        <f aca="false">IF(58&lt;=Settings!$C$6, 500000, "")</f>
        <v/>
      </c>
      <c r="H59" s="7" t="str">
        <f aca="false">IF(58&lt;=Settings!$C$6, IF(Settings!$C$7="Random", CHOOSE(com.sun.star.sheet.addin.Analysis.getRandbetween(1,3), 42, 101, 2024), 42), "")</f>
        <v/>
      </c>
      <c r="I59" s="5"/>
      <c r="J59" s="5"/>
      <c r="K59" s="5"/>
    </row>
    <row r="60" customFormat="false" ht="15" hidden="false" customHeight="false" outlineLevel="0" collapsed="false">
      <c r="A60" s="2"/>
      <c r="B60" s="2" t="str">
        <f aca="false">IF(59&lt;=Settings!$C$6, "PushBlock", "")</f>
        <v/>
      </c>
      <c r="C60" s="2" t="str">
        <f aca="false">IF(59&lt;=Settings!$C$6, "PPO", "")</f>
        <v/>
      </c>
      <c r="D60" s="3" t="str">
        <f aca="false">IF(59&lt;=Settings!$C$6, IF(Settings!$C$7="Random", CHOOSE(com.sun.star.sheet.addin.Analysis.getRandbetween(1,4), 0.0001, 0.0003, 0.0005, 0.001), 0.0003), "")</f>
        <v/>
      </c>
      <c r="E60" s="4" t="str">
        <f aca="false">IF(59&lt;=Settings!$C$6, IF(Settings!$C$7="Random", CHOOSE(com.sun.star.sheet.addin.Analysis.getRandbetween(1,3), 64, 128, 256), 128), "")</f>
        <v/>
      </c>
      <c r="F60" s="4" t="str">
        <f aca="false">IF(59&lt;=Settings!$C$6, IF(Settings!$C$7="Random", CHOOSE(com.sun.star.sheet.addin.Analysis.getRandbetween(1,3), 1024, 2048, 4096), 2048), "")</f>
        <v/>
      </c>
      <c r="G60" s="4" t="str">
        <f aca="false">IF(59&lt;=Settings!$C$6, 500000, "")</f>
        <v/>
      </c>
      <c r="H60" s="4" t="str">
        <f aca="false">IF(59&lt;=Settings!$C$6, IF(Settings!$C$7="Random", CHOOSE(com.sun.star.sheet.addin.Analysis.getRandbetween(1,3), 42, 101, 2024), 42), "")</f>
        <v/>
      </c>
      <c r="I60" s="2"/>
      <c r="J60" s="2"/>
      <c r="K60" s="2"/>
    </row>
    <row r="61" customFormat="false" ht="15" hidden="false" customHeight="false" outlineLevel="0" collapsed="false">
      <c r="A61" s="5"/>
      <c r="B61" s="5" t="str">
        <f aca="false">IF(60&lt;=Settings!$C$6, "PushBlock", "")</f>
        <v/>
      </c>
      <c r="C61" s="5" t="str">
        <f aca="false">IF(60&lt;=Settings!$C$6, "PPO", "")</f>
        <v/>
      </c>
      <c r="D61" s="6" t="str">
        <f aca="false">IF(60&lt;=Settings!$C$6, IF(Settings!$C$7="Random", CHOOSE(com.sun.star.sheet.addin.Analysis.getRandbetween(1,4), 0.0001, 0.0003, 0.0005, 0.001), 0.0003), "")</f>
        <v/>
      </c>
      <c r="E61" s="7" t="str">
        <f aca="false">IF(60&lt;=Settings!$C$6, IF(Settings!$C$7="Random", CHOOSE(com.sun.star.sheet.addin.Analysis.getRandbetween(1,3), 64, 128, 256), 128), "")</f>
        <v/>
      </c>
      <c r="F61" s="7" t="str">
        <f aca="false">IF(60&lt;=Settings!$C$6, IF(Settings!$C$7="Random", CHOOSE(com.sun.star.sheet.addin.Analysis.getRandbetween(1,3), 1024, 2048, 4096), 2048), "")</f>
        <v/>
      </c>
      <c r="G61" s="7" t="str">
        <f aca="false">IF(60&lt;=Settings!$C$6, 500000, "")</f>
        <v/>
      </c>
      <c r="H61" s="7" t="str">
        <f aca="false">IF(60&lt;=Settings!$C$6, IF(Settings!$C$7="Random", CHOOSE(com.sun.star.sheet.addin.Analysis.getRandbetween(1,3), 42, 101, 2024), 42), "")</f>
        <v/>
      </c>
      <c r="I61" s="5"/>
      <c r="J61" s="5"/>
      <c r="K61" s="5"/>
    </row>
    <row r="62" customFormat="false" ht="15" hidden="false" customHeight="false" outlineLevel="0" collapsed="false">
      <c r="A62" s="2"/>
      <c r="B62" s="2" t="str">
        <f aca="false">IF(61&lt;=Settings!$C$6, "PushBlock", "")</f>
        <v/>
      </c>
      <c r="C62" s="2" t="str">
        <f aca="false">IF(61&lt;=Settings!$C$6, "PPO", "")</f>
        <v/>
      </c>
      <c r="D62" s="3" t="str">
        <f aca="false">IF(61&lt;=Settings!$C$6, IF(Settings!$C$7="Random", CHOOSE(com.sun.star.sheet.addin.Analysis.getRandbetween(1,4), 0.0001, 0.0003, 0.0005, 0.001), 0.0003), "")</f>
        <v/>
      </c>
      <c r="E62" s="4" t="str">
        <f aca="false">IF(61&lt;=Settings!$C$6, IF(Settings!$C$7="Random", CHOOSE(com.sun.star.sheet.addin.Analysis.getRandbetween(1,3), 64, 128, 256), 128), "")</f>
        <v/>
      </c>
      <c r="F62" s="4" t="str">
        <f aca="false">IF(61&lt;=Settings!$C$6, IF(Settings!$C$7="Random", CHOOSE(com.sun.star.sheet.addin.Analysis.getRandbetween(1,3), 1024, 2048, 4096), 2048), "")</f>
        <v/>
      </c>
      <c r="G62" s="4" t="str">
        <f aca="false">IF(61&lt;=Settings!$C$6, 500000, "")</f>
        <v/>
      </c>
      <c r="H62" s="4" t="str">
        <f aca="false">IF(61&lt;=Settings!$C$6, IF(Settings!$C$7="Random", CHOOSE(com.sun.star.sheet.addin.Analysis.getRandbetween(1,3), 42, 101, 2024), 42), "")</f>
        <v/>
      </c>
      <c r="I62" s="2"/>
      <c r="J62" s="2"/>
      <c r="K62" s="2"/>
    </row>
    <row r="63" customFormat="false" ht="15" hidden="false" customHeight="false" outlineLevel="0" collapsed="false">
      <c r="A63" s="5"/>
      <c r="B63" s="5" t="str">
        <f aca="false">IF(62&lt;=Settings!$C$6, "PushBlock", "")</f>
        <v/>
      </c>
      <c r="C63" s="5" t="str">
        <f aca="false">IF(62&lt;=Settings!$C$6, "PPO", "")</f>
        <v/>
      </c>
      <c r="D63" s="6" t="str">
        <f aca="false">IF(62&lt;=Settings!$C$6, IF(Settings!$C$7="Random", CHOOSE(com.sun.star.sheet.addin.Analysis.getRandbetween(1,4), 0.0001, 0.0003, 0.0005, 0.001), 0.0003), "")</f>
        <v/>
      </c>
      <c r="E63" s="7" t="str">
        <f aca="false">IF(62&lt;=Settings!$C$6, IF(Settings!$C$7="Random", CHOOSE(com.sun.star.sheet.addin.Analysis.getRandbetween(1,3), 64, 128, 256), 128), "")</f>
        <v/>
      </c>
      <c r="F63" s="7" t="str">
        <f aca="false">IF(62&lt;=Settings!$C$6, IF(Settings!$C$7="Random", CHOOSE(com.sun.star.sheet.addin.Analysis.getRandbetween(1,3), 1024, 2048, 4096), 2048), "")</f>
        <v/>
      </c>
      <c r="G63" s="7" t="str">
        <f aca="false">IF(62&lt;=Settings!$C$6, 500000, "")</f>
        <v/>
      </c>
      <c r="H63" s="7" t="str">
        <f aca="false">IF(62&lt;=Settings!$C$6, IF(Settings!$C$7="Random", CHOOSE(com.sun.star.sheet.addin.Analysis.getRandbetween(1,3), 42, 101, 2024), 42), "")</f>
        <v/>
      </c>
      <c r="I63" s="5"/>
      <c r="J63" s="5"/>
      <c r="K63" s="5"/>
    </row>
    <row r="64" customFormat="false" ht="15" hidden="false" customHeight="false" outlineLevel="0" collapsed="false">
      <c r="A64" s="2"/>
      <c r="B64" s="2" t="str">
        <f aca="false">IF(63&lt;=Settings!$C$6, "PushBlock", "")</f>
        <v/>
      </c>
      <c r="C64" s="2" t="str">
        <f aca="false">IF(63&lt;=Settings!$C$6, "PPO", "")</f>
        <v/>
      </c>
      <c r="D64" s="3" t="str">
        <f aca="false">IF(63&lt;=Settings!$C$6, IF(Settings!$C$7="Random", CHOOSE(com.sun.star.sheet.addin.Analysis.getRandbetween(1,4), 0.0001, 0.0003, 0.0005, 0.001), 0.0003), "")</f>
        <v/>
      </c>
      <c r="E64" s="4" t="str">
        <f aca="false">IF(63&lt;=Settings!$C$6, IF(Settings!$C$7="Random", CHOOSE(com.sun.star.sheet.addin.Analysis.getRandbetween(1,3), 64, 128, 256), 128), "")</f>
        <v/>
      </c>
      <c r="F64" s="4" t="str">
        <f aca="false">IF(63&lt;=Settings!$C$6, IF(Settings!$C$7="Random", CHOOSE(com.sun.star.sheet.addin.Analysis.getRandbetween(1,3), 1024, 2048, 4096), 2048), "")</f>
        <v/>
      </c>
      <c r="G64" s="4" t="str">
        <f aca="false">IF(63&lt;=Settings!$C$6, 500000, "")</f>
        <v/>
      </c>
      <c r="H64" s="4" t="str">
        <f aca="false">IF(63&lt;=Settings!$C$6, IF(Settings!$C$7="Random", CHOOSE(com.sun.star.sheet.addin.Analysis.getRandbetween(1,3), 42, 101, 2024), 42), "")</f>
        <v/>
      </c>
      <c r="I64" s="2"/>
      <c r="J64" s="2"/>
      <c r="K64" s="2"/>
    </row>
    <row r="65" customFormat="false" ht="15" hidden="false" customHeight="false" outlineLevel="0" collapsed="false">
      <c r="A65" s="5"/>
      <c r="B65" s="5" t="str">
        <f aca="false">IF(64&lt;=Settings!$C$6, "PushBlock", "")</f>
        <v/>
      </c>
      <c r="C65" s="5" t="str">
        <f aca="false">IF(64&lt;=Settings!$C$6, "PPO", "")</f>
        <v/>
      </c>
      <c r="D65" s="6" t="str">
        <f aca="false">IF(64&lt;=Settings!$C$6, IF(Settings!$C$7="Random", CHOOSE(com.sun.star.sheet.addin.Analysis.getRandbetween(1,4), 0.0001, 0.0003, 0.0005, 0.001), 0.0003), "")</f>
        <v/>
      </c>
      <c r="E65" s="7" t="str">
        <f aca="false">IF(64&lt;=Settings!$C$6, IF(Settings!$C$7="Random", CHOOSE(com.sun.star.sheet.addin.Analysis.getRandbetween(1,3), 64, 128, 256), 128), "")</f>
        <v/>
      </c>
      <c r="F65" s="7" t="str">
        <f aca="false">IF(64&lt;=Settings!$C$6, IF(Settings!$C$7="Random", CHOOSE(com.sun.star.sheet.addin.Analysis.getRandbetween(1,3), 1024, 2048, 4096), 2048), "")</f>
        <v/>
      </c>
      <c r="G65" s="7" t="str">
        <f aca="false">IF(64&lt;=Settings!$C$6, 500000, "")</f>
        <v/>
      </c>
      <c r="H65" s="7" t="str">
        <f aca="false">IF(64&lt;=Settings!$C$6, IF(Settings!$C$7="Random", CHOOSE(com.sun.star.sheet.addin.Analysis.getRandbetween(1,3), 42, 101, 2024), 42), "")</f>
        <v/>
      </c>
      <c r="I65" s="5"/>
      <c r="J65" s="5"/>
      <c r="K65" s="5"/>
    </row>
    <row r="66" customFormat="false" ht="15" hidden="false" customHeight="false" outlineLevel="0" collapsed="false">
      <c r="A66" s="2"/>
      <c r="B66" s="2" t="str">
        <f aca="false">IF(65&lt;=Settings!$C$6, "PushBlock", "")</f>
        <v/>
      </c>
      <c r="C66" s="2" t="str">
        <f aca="false">IF(65&lt;=Settings!$C$6, "PPO", "")</f>
        <v/>
      </c>
      <c r="D66" s="3" t="str">
        <f aca="false">IF(65&lt;=Settings!$C$6, IF(Settings!$C$7="Random", CHOOSE(com.sun.star.sheet.addin.Analysis.getRandbetween(1,4), 0.0001, 0.0003, 0.0005, 0.001), 0.0003), "")</f>
        <v/>
      </c>
      <c r="E66" s="4" t="str">
        <f aca="false">IF(65&lt;=Settings!$C$6, IF(Settings!$C$7="Random", CHOOSE(com.sun.star.sheet.addin.Analysis.getRandbetween(1,3), 64, 128, 256), 128), "")</f>
        <v/>
      </c>
      <c r="F66" s="4" t="str">
        <f aca="false">IF(65&lt;=Settings!$C$6, IF(Settings!$C$7="Random", CHOOSE(com.sun.star.sheet.addin.Analysis.getRandbetween(1,3), 1024, 2048, 4096), 2048), "")</f>
        <v/>
      </c>
      <c r="G66" s="4" t="str">
        <f aca="false">IF(65&lt;=Settings!$C$6, 500000, "")</f>
        <v/>
      </c>
      <c r="H66" s="4" t="str">
        <f aca="false">IF(65&lt;=Settings!$C$6, IF(Settings!$C$7="Random", CHOOSE(com.sun.star.sheet.addin.Analysis.getRandbetween(1,3), 42, 101, 2024), 42), "")</f>
        <v/>
      </c>
      <c r="I66" s="2"/>
      <c r="J66" s="2"/>
      <c r="K66" s="2"/>
    </row>
    <row r="67" customFormat="false" ht="15" hidden="false" customHeight="false" outlineLevel="0" collapsed="false">
      <c r="A67" s="5"/>
      <c r="B67" s="5" t="str">
        <f aca="false">IF(66&lt;=Settings!$C$6, "PushBlock", "")</f>
        <v/>
      </c>
      <c r="C67" s="5" t="str">
        <f aca="false">IF(66&lt;=Settings!$C$6, "PPO", "")</f>
        <v/>
      </c>
      <c r="D67" s="6" t="str">
        <f aca="false">IF(66&lt;=Settings!$C$6, IF(Settings!$C$7="Random", CHOOSE(com.sun.star.sheet.addin.Analysis.getRandbetween(1,4), 0.0001, 0.0003, 0.0005, 0.001), 0.0003), "")</f>
        <v/>
      </c>
      <c r="E67" s="7" t="str">
        <f aca="false">IF(66&lt;=Settings!$C$6, IF(Settings!$C$7="Random", CHOOSE(com.sun.star.sheet.addin.Analysis.getRandbetween(1,3), 64, 128, 256), 128), "")</f>
        <v/>
      </c>
      <c r="F67" s="7" t="str">
        <f aca="false">IF(66&lt;=Settings!$C$6, IF(Settings!$C$7="Random", CHOOSE(com.sun.star.sheet.addin.Analysis.getRandbetween(1,3), 1024, 2048, 4096), 2048), "")</f>
        <v/>
      </c>
      <c r="G67" s="7" t="str">
        <f aca="false">IF(66&lt;=Settings!$C$6, 500000, "")</f>
        <v/>
      </c>
      <c r="H67" s="7" t="str">
        <f aca="false">IF(66&lt;=Settings!$C$6, IF(Settings!$C$7="Random", CHOOSE(com.sun.star.sheet.addin.Analysis.getRandbetween(1,3), 42, 101, 2024), 42), "")</f>
        <v/>
      </c>
      <c r="I67" s="5"/>
      <c r="J67" s="5"/>
      <c r="K67" s="5"/>
    </row>
    <row r="68" customFormat="false" ht="15" hidden="false" customHeight="false" outlineLevel="0" collapsed="false">
      <c r="A68" s="2"/>
      <c r="B68" s="2" t="str">
        <f aca="false">IF(67&lt;=Settings!$C$6, "PushBlock", "")</f>
        <v/>
      </c>
      <c r="C68" s="2" t="str">
        <f aca="false">IF(67&lt;=Settings!$C$6, "PPO", "")</f>
        <v/>
      </c>
      <c r="D68" s="3" t="str">
        <f aca="false">IF(67&lt;=Settings!$C$6, IF(Settings!$C$7="Random", CHOOSE(com.sun.star.sheet.addin.Analysis.getRandbetween(1,4), 0.0001, 0.0003, 0.0005, 0.001), 0.0003), "")</f>
        <v/>
      </c>
      <c r="E68" s="4" t="str">
        <f aca="false">IF(67&lt;=Settings!$C$6, IF(Settings!$C$7="Random", CHOOSE(com.sun.star.sheet.addin.Analysis.getRandbetween(1,3), 64, 128, 256), 128), "")</f>
        <v/>
      </c>
      <c r="F68" s="4" t="str">
        <f aca="false">IF(67&lt;=Settings!$C$6, IF(Settings!$C$7="Random", CHOOSE(com.sun.star.sheet.addin.Analysis.getRandbetween(1,3), 1024, 2048, 4096), 2048), "")</f>
        <v/>
      </c>
      <c r="G68" s="4" t="str">
        <f aca="false">IF(67&lt;=Settings!$C$6, 500000, "")</f>
        <v/>
      </c>
      <c r="H68" s="4" t="str">
        <f aca="false">IF(67&lt;=Settings!$C$6, IF(Settings!$C$7="Random", CHOOSE(com.sun.star.sheet.addin.Analysis.getRandbetween(1,3), 42, 101, 2024), 42), "")</f>
        <v/>
      </c>
      <c r="I68" s="2"/>
      <c r="J68" s="2"/>
      <c r="K68" s="2"/>
    </row>
    <row r="69" customFormat="false" ht="15" hidden="false" customHeight="false" outlineLevel="0" collapsed="false">
      <c r="A69" s="5"/>
      <c r="B69" s="5" t="str">
        <f aca="false">IF(68&lt;=Settings!$C$6, "PushBlock", "")</f>
        <v/>
      </c>
      <c r="C69" s="5" t="str">
        <f aca="false">IF(68&lt;=Settings!$C$6, "PPO", "")</f>
        <v/>
      </c>
      <c r="D69" s="6" t="str">
        <f aca="false">IF(68&lt;=Settings!$C$6, IF(Settings!$C$7="Random", CHOOSE(com.sun.star.sheet.addin.Analysis.getRandbetween(1,4), 0.0001, 0.0003, 0.0005, 0.001), 0.0003), "")</f>
        <v/>
      </c>
      <c r="E69" s="7" t="str">
        <f aca="false">IF(68&lt;=Settings!$C$6, IF(Settings!$C$7="Random", CHOOSE(com.sun.star.sheet.addin.Analysis.getRandbetween(1,3), 64, 128, 256), 128), "")</f>
        <v/>
      </c>
      <c r="F69" s="7" t="str">
        <f aca="false">IF(68&lt;=Settings!$C$6, IF(Settings!$C$7="Random", CHOOSE(com.sun.star.sheet.addin.Analysis.getRandbetween(1,3), 1024, 2048, 4096), 2048), "")</f>
        <v/>
      </c>
      <c r="G69" s="7" t="str">
        <f aca="false">IF(68&lt;=Settings!$C$6, 500000, "")</f>
        <v/>
      </c>
      <c r="H69" s="7" t="str">
        <f aca="false">IF(68&lt;=Settings!$C$6, IF(Settings!$C$7="Random", CHOOSE(com.sun.star.sheet.addin.Analysis.getRandbetween(1,3), 42, 101, 2024), 42), "")</f>
        <v/>
      </c>
      <c r="I69" s="5"/>
      <c r="J69" s="5"/>
      <c r="K69" s="5"/>
    </row>
    <row r="70" customFormat="false" ht="15" hidden="false" customHeight="false" outlineLevel="0" collapsed="false">
      <c r="A70" s="2"/>
      <c r="B70" s="2" t="str">
        <f aca="false">IF(69&lt;=Settings!$C$6, "PushBlock", "")</f>
        <v/>
      </c>
      <c r="C70" s="2" t="str">
        <f aca="false">IF(69&lt;=Settings!$C$6, "PPO", "")</f>
        <v/>
      </c>
      <c r="D70" s="3" t="str">
        <f aca="false">IF(69&lt;=Settings!$C$6, IF(Settings!$C$7="Random", CHOOSE(com.sun.star.sheet.addin.Analysis.getRandbetween(1,4), 0.0001, 0.0003, 0.0005, 0.001), 0.0003), "")</f>
        <v/>
      </c>
      <c r="E70" s="4" t="str">
        <f aca="false">IF(69&lt;=Settings!$C$6, IF(Settings!$C$7="Random", CHOOSE(com.sun.star.sheet.addin.Analysis.getRandbetween(1,3), 64, 128, 256), 128), "")</f>
        <v/>
      </c>
      <c r="F70" s="4" t="str">
        <f aca="false">IF(69&lt;=Settings!$C$6, IF(Settings!$C$7="Random", CHOOSE(com.sun.star.sheet.addin.Analysis.getRandbetween(1,3), 1024, 2048, 4096), 2048), "")</f>
        <v/>
      </c>
      <c r="G70" s="4" t="str">
        <f aca="false">IF(69&lt;=Settings!$C$6, 500000, "")</f>
        <v/>
      </c>
      <c r="H70" s="4" t="str">
        <f aca="false">IF(69&lt;=Settings!$C$6, IF(Settings!$C$7="Random", CHOOSE(com.sun.star.sheet.addin.Analysis.getRandbetween(1,3), 42, 101, 2024), 42), "")</f>
        <v/>
      </c>
      <c r="I70" s="2"/>
      <c r="J70" s="2"/>
      <c r="K70" s="2"/>
    </row>
    <row r="71" customFormat="false" ht="15" hidden="false" customHeight="false" outlineLevel="0" collapsed="false">
      <c r="A71" s="5"/>
      <c r="B71" s="5" t="str">
        <f aca="false">IF(70&lt;=Settings!$C$6, "PushBlock", "")</f>
        <v/>
      </c>
      <c r="C71" s="5" t="str">
        <f aca="false">IF(70&lt;=Settings!$C$6, "PPO", "")</f>
        <v/>
      </c>
      <c r="D71" s="6" t="str">
        <f aca="false">IF(70&lt;=Settings!$C$6, IF(Settings!$C$7="Random", CHOOSE(com.sun.star.sheet.addin.Analysis.getRandbetween(1,4), 0.0001, 0.0003, 0.0005, 0.001), 0.0003), "")</f>
        <v/>
      </c>
      <c r="E71" s="7" t="str">
        <f aca="false">IF(70&lt;=Settings!$C$6, IF(Settings!$C$7="Random", CHOOSE(com.sun.star.sheet.addin.Analysis.getRandbetween(1,3), 64, 128, 256), 128), "")</f>
        <v/>
      </c>
      <c r="F71" s="7" t="str">
        <f aca="false">IF(70&lt;=Settings!$C$6, IF(Settings!$C$7="Random", CHOOSE(com.sun.star.sheet.addin.Analysis.getRandbetween(1,3), 1024, 2048, 4096), 2048), "")</f>
        <v/>
      </c>
      <c r="G71" s="7" t="str">
        <f aca="false">IF(70&lt;=Settings!$C$6, 500000, "")</f>
        <v/>
      </c>
      <c r="H71" s="7" t="str">
        <f aca="false">IF(70&lt;=Settings!$C$6, IF(Settings!$C$7="Random", CHOOSE(com.sun.star.sheet.addin.Analysis.getRandbetween(1,3), 42, 101, 2024), 42), "")</f>
        <v/>
      </c>
      <c r="I71" s="5"/>
      <c r="J71" s="5"/>
      <c r="K71" s="5"/>
    </row>
    <row r="72" customFormat="false" ht="15" hidden="false" customHeight="false" outlineLevel="0" collapsed="false">
      <c r="A72" s="2"/>
      <c r="B72" s="2" t="str">
        <f aca="false">IF(71&lt;=Settings!$C$6, "PushBlock", "")</f>
        <v/>
      </c>
      <c r="C72" s="2" t="str">
        <f aca="false">IF(71&lt;=Settings!$C$6, "PPO", "")</f>
        <v/>
      </c>
      <c r="D72" s="3" t="str">
        <f aca="false">IF(71&lt;=Settings!$C$6, IF(Settings!$C$7="Random", CHOOSE(com.sun.star.sheet.addin.Analysis.getRandbetween(1,4), 0.0001, 0.0003, 0.0005, 0.001), 0.0003), "")</f>
        <v/>
      </c>
      <c r="E72" s="4" t="str">
        <f aca="false">IF(71&lt;=Settings!$C$6, IF(Settings!$C$7="Random", CHOOSE(com.sun.star.sheet.addin.Analysis.getRandbetween(1,3), 64, 128, 256), 128), "")</f>
        <v/>
      </c>
      <c r="F72" s="4" t="str">
        <f aca="false">IF(71&lt;=Settings!$C$6, IF(Settings!$C$7="Random", CHOOSE(com.sun.star.sheet.addin.Analysis.getRandbetween(1,3), 1024, 2048, 4096), 2048), "")</f>
        <v/>
      </c>
      <c r="G72" s="4" t="str">
        <f aca="false">IF(71&lt;=Settings!$C$6, 500000, "")</f>
        <v/>
      </c>
      <c r="H72" s="4" t="str">
        <f aca="false">IF(71&lt;=Settings!$C$6, IF(Settings!$C$7="Random", CHOOSE(com.sun.star.sheet.addin.Analysis.getRandbetween(1,3), 42, 101, 2024), 42), "")</f>
        <v/>
      </c>
      <c r="I72" s="2"/>
      <c r="J72" s="2"/>
      <c r="K72" s="2"/>
    </row>
    <row r="73" customFormat="false" ht="15" hidden="false" customHeight="false" outlineLevel="0" collapsed="false">
      <c r="A73" s="5"/>
      <c r="B73" s="5" t="str">
        <f aca="false">IF(72&lt;=Settings!$C$6, "PushBlock", "")</f>
        <v/>
      </c>
      <c r="C73" s="5" t="str">
        <f aca="false">IF(72&lt;=Settings!$C$6, "PPO", "")</f>
        <v/>
      </c>
      <c r="D73" s="6" t="str">
        <f aca="false">IF(72&lt;=Settings!$C$6, IF(Settings!$C$7="Random", CHOOSE(com.sun.star.sheet.addin.Analysis.getRandbetween(1,4), 0.0001, 0.0003, 0.0005, 0.001), 0.0003), "")</f>
        <v/>
      </c>
      <c r="E73" s="7" t="str">
        <f aca="false">IF(72&lt;=Settings!$C$6, IF(Settings!$C$7="Random", CHOOSE(com.sun.star.sheet.addin.Analysis.getRandbetween(1,3), 64, 128, 256), 128), "")</f>
        <v/>
      </c>
      <c r="F73" s="7" t="str">
        <f aca="false">IF(72&lt;=Settings!$C$6, IF(Settings!$C$7="Random", CHOOSE(com.sun.star.sheet.addin.Analysis.getRandbetween(1,3), 1024, 2048, 4096), 2048), "")</f>
        <v/>
      </c>
      <c r="G73" s="7" t="str">
        <f aca="false">IF(72&lt;=Settings!$C$6, 500000, "")</f>
        <v/>
      </c>
      <c r="H73" s="7" t="str">
        <f aca="false">IF(72&lt;=Settings!$C$6, IF(Settings!$C$7="Random", CHOOSE(com.sun.star.sheet.addin.Analysis.getRandbetween(1,3), 42, 101, 2024), 42), "")</f>
        <v/>
      </c>
      <c r="I73" s="5"/>
      <c r="J73" s="5"/>
      <c r="K73" s="5"/>
    </row>
    <row r="74" customFormat="false" ht="15" hidden="false" customHeight="false" outlineLevel="0" collapsed="false">
      <c r="A74" s="2"/>
      <c r="B74" s="2" t="str">
        <f aca="false">IF(73&lt;=Settings!$C$6, "PushBlock", "")</f>
        <v/>
      </c>
      <c r="C74" s="2" t="str">
        <f aca="false">IF(73&lt;=Settings!$C$6, "PPO", "")</f>
        <v/>
      </c>
      <c r="D74" s="3" t="str">
        <f aca="false">IF(73&lt;=Settings!$C$6, IF(Settings!$C$7="Random", CHOOSE(com.sun.star.sheet.addin.Analysis.getRandbetween(1,4), 0.0001, 0.0003, 0.0005, 0.001), 0.0003), "")</f>
        <v/>
      </c>
      <c r="E74" s="4" t="str">
        <f aca="false">IF(73&lt;=Settings!$C$6, IF(Settings!$C$7="Random", CHOOSE(com.sun.star.sheet.addin.Analysis.getRandbetween(1,3), 64, 128, 256), 128), "")</f>
        <v/>
      </c>
      <c r="F74" s="4" t="str">
        <f aca="false">IF(73&lt;=Settings!$C$6, IF(Settings!$C$7="Random", CHOOSE(com.sun.star.sheet.addin.Analysis.getRandbetween(1,3), 1024, 2048, 4096), 2048), "")</f>
        <v/>
      </c>
      <c r="G74" s="4" t="str">
        <f aca="false">IF(73&lt;=Settings!$C$6, 500000, "")</f>
        <v/>
      </c>
      <c r="H74" s="4" t="str">
        <f aca="false">IF(73&lt;=Settings!$C$6, IF(Settings!$C$7="Random", CHOOSE(com.sun.star.sheet.addin.Analysis.getRandbetween(1,3), 42, 101, 2024), 42), "")</f>
        <v/>
      </c>
      <c r="I74" s="2"/>
      <c r="J74" s="2"/>
      <c r="K74" s="2"/>
    </row>
    <row r="75" customFormat="false" ht="15" hidden="false" customHeight="false" outlineLevel="0" collapsed="false">
      <c r="A75" s="5"/>
      <c r="B75" s="5" t="str">
        <f aca="false">IF(74&lt;=Settings!$C$6, "PushBlock", "")</f>
        <v/>
      </c>
      <c r="C75" s="5" t="str">
        <f aca="false">IF(74&lt;=Settings!$C$6, "PPO", "")</f>
        <v/>
      </c>
      <c r="D75" s="6" t="str">
        <f aca="false">IF(74&lt;=Settings!$C$6, IF(Settings!$C$7="Random", CHOOSE(com.sun.star.sheet.addin.Analysis.getRandbetween(1,4), 0.0001, 0.0003, 0.0005, 0.001), 0.0003), "")</f>
        <v/>
      </c>
      <c r="E75" s="7" t="str">
        <f aca="false">IF(74&lt;=Settings!$C$6, IF(Settings!$C$7="Random", CHOOSE(com.sun.star.sheet.addin.Analysis.getRandbetween(1,3), 64, 128, 256), 128), "")</f>
        <v/>
      </c>
      <c r="F75" s="7" t="str">
        <f aca="false">IF(74&lt;=Settings!$C$6, IF(Settings!$C$7="Random", CHOOSE(com.sun.star.sheet.addin.Analysis.getRandbetween(1,3), 1024, 2048, 4096), 2048), "")</f>
        <v/>
      </c>
      <c r="G75" s="7" t="str">
        <f aca="false">IF(74&lt;=Settings!$C$6, 500000, "")</f>
        <v/>
      </c>
      <c r="H75" s="7" t="str">
        <f aca="false">IF(74&lt;=Settings!$C$6, IF(Settings!$C$7="Random", CHOOSE(com.sun.star.sheet.addin.Analysis.getRandbetween(1,3), 42, 101, 2024), 42), "")</f>
        <v/>
      </c>
      <c r="I75" s="5"/>
      <c r="J75" s="5"/>
      <c r="K75" s="5"/>
    </row>
    <row r="76" customFormat="false" ht="15" hidden="false" customHeight="false" outlineLevel="0" collapsed="false">
      <c r="A76" s="2"/>
      <c r="B76" s="2" t="str">
        <f aca="false">IF(75&lt;=Settings!$C$6, "PushBlock", "")</f>
        <v/>
      </c>
      <c r="C76" s="2" t="str">
        <f aca="false">IF(75&lt;=Settings!$C$6, "PPO", "")</f>
        <v/>
      </c>
      <c r="D76" s="3" t="str">
        <f aca="false">IF(75&lt;=Settings!$C$6, IF(Settings!$C$7="Random", CHOOSE(com.sun.star.sheet.addin.Analysis.getRandbetween(1,4), 0.0001, 0.0003, 0.0005, 0.001), 0.0003), "")</f>
        <v/>
      </c>
      <c r="E76" s="4" t="str">
        <f aca="false">IF(75&lt;=Settings!$C$6, IF(Settings!$C$7="Random", CHOOSE(com.sun.star.sheet.addin.Analysis.getRandbetween(1,3), 64, 128, 256), 128), "")</f>
        <v/>
      </c>
      <c r="F76" s="4" t="str">
        <f aca="false">IF(75&lt;=Settings!$C$6, IF(Settings!$C$7="Random", CHOOSE(com.sun.star.sheet.addin.Analysis.getRandbetween(1,3), 1024, 2048, 4096), 2048), "")</f>
        <v/>
      </c>
      <c r="G76" s="4" t="str">
        <f aca="false">IF(75&lt;=Settings!$C$6, 500000, "")</f>
        <v/>
      </c>
      <c r="H76" s="4" t="str">
        <f aca="false">IF(75&lt;=Settings!$C$6, IF(Settings!$C$7="Random", CHOOSE(com.sun.star.sheet.addin.Analysis.getRandbetween(1,3), 42, 101, 2024), 42), "")</f>
        <v/>
      </c>
      <c r="I76" s="2"/>
      <c r="J76" s="2"/>
      <c r="K76" s="2"/>
    </row>
    <row r="77" customFormat="false" ht="15" hidden="false" customHeight="false" outlineLevel="0" collapsed="false">
      <c r="A77" s="5"/>
      <c r="B77" s="5" t="str">
        <f aca="false">IF(76&lt;=Settings!$C$6, "PushBlock", "")</f>
        <v/>
      </c>
      <c r="C77" s="5" t="str">
        <f aca="false">IF(76&lt;=Settings!$C$6, "PPO", "")</f>
        <v/>
      </c>
      <c r="D77" s="6" t="str">
        <f aca="false">IF(76&lt;=Settings!$C$6, IF(Settings!$C$7="Random", CHOOSE(com.sun.star.sheet.addin.Analysis.getRandbetween(1,4), 0.0001, 0.0003, 0.0005, 0.001), 0.0003), "")</f>
        <v/>
      </c>
      <c r="E77" s="7" t="str">
        <f aca="false">IF(76&lt;=Settings!$C$6, IF(Settings!$C$7="Random", CHOOSE(com.sun.star.sheet.addin.Analysis.getRandbetween(1,3), 64, 128, 256), 128), "")</f>
        <v/>
      </c>
      <c r="F77" s="7" t="str">
        <f aca="false">IF(76&lt;=Settings!$C$6, IF(Settings!$C$7="Random", CHOOSE(com.sun.star.sheet.addin.Analysis.getRandbetween(1,3), 1024, 2048, 4096), 2048), "")</f>
        <v/>
      </c>
      <c r="G77" s="7" t="str">
        <f aca="false">IF(76&lt;=Settings!$C$6, 500000, "")</f>
        <v/>
      </c>
      <c r="H77" s="7" t="str">
        <f aca="false">IF(76&lt;=Settings!$C$6, IF(Settings!$C$7="Random", CHOOSE(com.sun.star.sheet.addin.Analysis.getRandbetween(1,3), 42, 101, 2024), 42), "")</f>
        <v/>
      </c>
      <c r="I77" s="5"/>
      <c r="J77" s="5"/>
      <c r="K77" s="5"/>
    </row>
    <row r="78" customFormat="false" ht="15" hidden="false" customHeight="false" outlineLevel="0" collapsed="false">
      <c r="A78" s="2"/>
      <c r="B78" s="2" t="str">
        <f aca="false">IF(77&lt;=Settings!$C$6, "PushBlock", "")</f>
        <v/>
      </c>
      <c r="C78" s="2" t="str">
        <f aca="false">IF(77&lt;=Settings!$C$6, "PPO", "")</f>
        <v/>
      </c>
      <c r="D78" s="3" t="str">
        <f aca="false">IF(77&lt;=Settings!$C$6, IF(Settings!$C$7="Random", CHOOSE(com.sun.star.sheet.addin.Analysis.getRandbetween(1,4), 0.0001, 0.0003, 0.0005, 0.001), 0.0003), "")</f>
        <v/>
      </c>
      <c r="E78" s="4" t="str">
        <f aca="false">IF(77&lt;=Settings!$C$6, IF(Settings!$C$7="Random", CHOOSE(com.sun.star.sheet.addin.Analysis.getRandbetween(1,3), 64, 128, 256), 128), "")</f>
        <v/>
      </c>
      <c r="F78" s="4" t="str">
        <f aca="false">IF(77&lt;=Settings!$C$6, IF(Settings!$C$7="Random", CHOOSE(com.sun.star.sheet.addin.Analysis.getRandbetween(1,3), 1024, 2048, 4096), 2048), "")</f>
        <v/>
      </c>
      <c r="G78" s="4" t="str">
        <f aca="false">IF(77&lt;=Settings!$C$6, 500000, "")</f>
        <v/>
      </c>
      <c r="H78" s="4" t="str">
        <f aca="false">IF(77&lt;=Settings!$C$6, IF(Settings!$C$7="Random", CHOOSE(com.sun.star.sheet.addin.Analysis.getRandbetween(1,3), 42, 101, 2024), 42), "")</f>
        <v/>
      </c>
      <c r="I78" s="2"/>
      <c r="J78" s="2"/>
      <c r="K78" s="2"/>
    </row>
    <row r="79" customFormat="false" ht="15" hidden="false" customHeight="false" outlineLevel="0" collapsed="false">
      <c r="A79" s="5"/>
      <c r="B79" s="5" t="str">
        <f aca="false">IF(78&lt;=Settings!$C$6, "PushBlock", "")</f>
        <v/>
      </c>
      <c r="C79" s="5" t="str">
        <f aca="false">IF(78&lt;=Settings!$C$6, "PPO", "")</f>
        <v/>
      </c>
      <c r="D79" s="6" t="str">
        <f aca="false">IF(78&lt;=Settings!$C$6, IF(Settings!$C$7="Random", CHOOSE(com.sun.star.sheet.addin.Analysis.getRandbetween(1,4), 0.0001, 0.0003, 0.0005, 0.001), 0.0003), "")</f>
        <v/>
      </c>
      <c r="E79" s="7" t="str">
        <f aca="false">IF(78&lt;=Settings!$C$6, IF(Settings!$C$7="Random", CHOOSE(com.sun.star.sheet.addin.Analysis.getRandbetween(1,3), 64, 128, 256), 128), "")</f>
        <v/>
      </c>
      <c r="F79" s="7" t="str">
        <f aca="false">IF(78&lt;=Settings!$C$6, IF(Settings!$C$7="Random", CHOOSE(com.sun.star.sheet.addin.Analysis.getRandbetween(1,3), 1024, 2048, 4096), 2048), "")</f>
        <v/>
      </c>
      <c r="G79" s="7" t="str">
        <f aca="false">IF(78&lt;=Settings!$C$6, 500000, "")</f>
        <v/>
      </c>
      <c r="H79" s="7" t="str">
        <f aca="false">IF(78&lt;=Settings!$C$6, IF(Settings!$C$7="Random", CHOOSE(com.sun.star.sheet.addin.Analysis.getRandbetween(1,3), 42, 101, 2024), 42), "")</f>
        <v/>
      </c>
      <c r="I79" s="5"/>
      <c r="J79" s="5"/>
      <c r="K79" s="5"/>
    </row>
    <row r="80" customFormat="false" ht="15" hidden="false" customHeight="false" outlineLevel="0" collapsed="false">
      <c r="A80" s="2"/>
      <c r="B80" s="2" t="str">
        <f aca="false">IF(79&lt;=Settings!$C$6, "PushBlock", "")</f>
        <v/>
      </c>
      <c r="C80" s="2" t="str">
        <f aca="false">IF(79&lt;=Settings!$C$6, "PPO", "")</f>
        <v/>
      </c>
      <c r="D80" s="3" t="str">
        <f aca="false">IF(79&lt;=Settings!$C$6, IF(Settings!$C$7="Random", CHOOSE(com.sun.star.sheet.addin.Analysis.getRandbetween(1,4), 0.0001, 0.0003, 0.0005, 0.001), 0.0003), "")</f>
        <v/>
      </c>
      <c r="E80" s="4" t="str">
        <f aca="false">IF(79&lt;=Settings!$C$6, IF(Settings!$C$7="Random", CHOOSE(com.sun.star.sheet.addin.Analysis.getRandbetween(1,3), 64, 128, 256), 128), "")</f>
        <v/>
      </c>
      <c r="F80" s="4" t="str">
        <f aca="false">IF(79&lt;=Settings!$C$6, IF(Settings!$C$7="Random", CHOOSE(com.sun.star.sheet.addin.Analysis.getRandbetween(1,3), 1024, 2048, 4096), 2048), "")</f>
        <v/>
      </c>
      <c r="G80" s="4" t="str">
        <f aca="false">IF(79&lt;=Settings!$C$6, 500000, "")</f>
        <v/>
      </c>
      <c r="H80" s="4" t="str">
        <f aca="false">IF(79&lt;=Settings!$C$6, IF(Settings!$C$7="Random", CHOOSE(com.sun.star.sheet.addin.Analysis.getRandbetween(1,3), 42, 101, 2024), 42), "")</f>
        <v/>
      </c>
      <c r="I80" s="2"/>
      <c r="J80" s="2"/>
      <c r="K80" s="2"/>
    </row>
    <row r="81" customFormat="false" ht="15" hidden="false" customHeight="false" outlineLevel="0" collapsed="false">
      <c r="A81" s="5"/>
      <c r="B81" s="5" t="str">
        <f aca="false">IF(80&lt;=Settings!$C$6, "PushBlock", "")</f>
        <v/>
      </c>
      <c r="C81" s="5" t="str">
        <f aca="false">IF(80&lt;=Settings!$C$6, "PPO", "")</f>
        <v/>
      </c>
      <c r="D81" s="6" t="str">
        <f aca="false">IF(80&lt;=Settings!$C$6, IF(Settings!$C$7="Random", CHOOSE(com.sun.star.sheet.addin.Analysis.getRandbetween(1,4), 0.0001, 0.0003, 0.0005, 0.001), 0.0003), "")</f>
        <v/>
      </c>
      <c r="E81" s="7" t="str">
        <f aca="false">IF(80&lt;=Settings!$C$6, IF(Settings!$C$7="Random", CHOOSE(com.sun.star.sheet.addin.Analysis.getRandbetween(1,3), 64, 128, 256), 128), "")</f>
        <v/>
      </c>
      <c r="F81" s="7" t="str">
        <f aca="false">IF(80&lt;=Settings!$C$6, IF(Settings!$C$7="Random", CHOOSE(com.sun.star.sheet.addin.Analysis.getRandbetween(1,3), 1024, 2048, 4096), 2048), "")</f>
        <v/>
      </c>
      <c r="G81" s="7" t="str">
        <f aca="false">IF(80&lt;=Settings!$C$6, 500000, "")</f>
        <v/>
      </c>
      <c r="H81" s="7" t="str">
        <f aca="false">IF(80&lt;=Settings!$C$6, IF(Settings!$C$7="Random", CHOOSE(com.sun.star.sheet.addin.Analysis.getRandbetween(1,3), 42, 101, 2024), 42), "")</f>
        <v/>
      </c>
      <c r="I81" s="5"/>
      <c r="J81" s="5"/>
      <c r="K81" s="5"/>
    </row>
    <row r="82" customFormat="false" ht="15" hidden="false" customHeight="false" outlineLevel="0" collapsed="false">
      <c r="A82" s="2"/>
      <c r="B82" s="2" t="str">
        <f aca="false">IF(81&lt;=Settings!$C$6, "PushBlock", "")</f>
        <v/>
      </c>
      <c r="C82" s="2" t="str">
        <f aca="false">IF(81&lt;=Settings!$C$6, "PPO", "")</f>
        <v/>
      </c>
      <c r="D82" s="3" t="str">
        <f aca="false">IF(81&lt;=Settings!$C$6, IF(Settings!$C$7="Random", CHOOSE(com.sun.star.sheet.addin.Analysis.getRandbetween(1,4), 0.0001, 0.0003, 0.0005, 0.001), 0.0003), "")</f>
        <v/>
      </c>
      <c r="E82" s="4" t="str">
        <f aca="false">IF(81&lt;=Settings!$C$6, IF(Settings!$C$7="Random", CHOOSE(com.sun.star.sheet.addin.Analysis.getRandbetween(1,3), 64, 128, 256), 128), "")</f>
        <v/>
      </c>
      <c r="F82" s="4" t="str">
        <f aca="false">IF(81&lt;=Settings!$C$6, IF(Settings!$C$7="Random", CHOOSE(com.sun.star.sheet.addin.Analysis.getRandbetween(1,3), 1024, 2048, 4096), 2048), "")</f>
        <v/>
      </c>
      <c r="G82" s="4" t="str">
        <f aca="false">IF(81&lt;=Settings!$C$6, 500000, "")</f>
        <v/>
      </c>
      <c r="H82" s="4" t="str">
        <f aca="false">IF(81&lt;=Settings!$C$6, IF(Settings!$C$7="Random", CHOOSE(com.sun.star.sheet.addin.Analysis.getRandbetween(1,3), 42, 101, 2024), 42), "")</f>
        <v/>
      </c>
      <c r="I82" s="2"/>
      <c r="J82" s="2"/>
      <c r="K82" s="2"/>
    </row>
    <row r="83" customFormat="false" ht="15" hidden="false" customHeight="false" outlineLevel="0" collapsed="false">
      <c r="A83" s="5"/>
      <c r="B83" s="5" t="str">
        <f aca="false">IF(82&lt;=Settings!$C$6, "PushBlock", "")</f>
        <v/>
      </c>
      <c r="C83" s="5" t="str">
        <f aca="false">IF(82&lt;=Settings!$C$6, "PPO", "")</f>
        <v/>
      </c>
      <c r="D83" s="6" t="str">
        <f aca="false">IF(82&lt;=Settings!$C$6, IF(Settings!$C$7="Random", CHOOSE(com.sun.star.sheet.addin.Analysis.getRandbetween(1,4), 0.0001, 0.0003, 0.0005, 0.001), 0.0003), "")</f>
        <v/>
      </c>
      <c r="E83" s="7" t="str">
        <f aca="false">IF(82&lt;=Settings!$C$6, IF(Settings!$C$7="Random", CHOOSE(com.sun.star.sheet.addin.Analysis.getRandbetween(1,3), 64, 128, 256), 128), "")</f>
        <v/>
      </c>
      <c r="F83" s="7" t="str">
        <f aca="false">IF(82&lt;=Settings!$C$6, IF(Settings!$C$7="Random", CHOOSE(com.sun.star.sheet.addin.Analysis.getRandbetween(1,3), 1024, 2048, 4096), 2048), "")</f>
        <v/>
      </c>
      <c r="G83" s="7" t="str">
        <f aca="false">IF(82&lt;=Settings!$C$6, 500000, "")</f>
        <v/>
      </c>
      <c r="H83" s="7" t="str">
        <f aca="false">IF(82&lt;=Settings!$C$6, IF(Settings!$C$7="Random", CHOOSE(com.sun.star.sheet.addin.Analysis.getRandbetween(1,3), 42, 101, 2024), 42), "")</f>
        <v/>
      </c>
      <c r="I83" s="5"/>
      <c r="J83" s="5"/>
      <c r="K83" s="5"/>
    </row>
    <row r="84" customFormat="false" ht="15" hidden="false" customHeight="false" outlineLevel="0" collapsed="false">
      <c r="A84" s="2"/>
      <c r="B84" s="2" t="str">
        <f aca="false">IF(83&lt;=Settings!$C$6, "PushBlock", "")</f>
        <v/>
      </c>
      <c r="C84" s="2" t="str">
        <f aca="false">IF(83&lt;=Settings!$C$6, "PPO", "")</f>
        <v/>
      </c>
      <c r="D84" s="3" t="str">
        <f aca="false">IF(83&lt;=Settings!$C$6, IF(Settings!$C$7="Random", CHOOSE(com.sun.star.sheet.addin.Analysis.getRandbetween(1,4), 0.0001, 0.0003, 0.0005, 0.001), 0.0003), "")</f>
        <v/>
      </c>
      <c r="E84" s="4" t="str">
        <f aca="false">IF(83&lt;=Settings!$C$6, IF(Settings!$C$7="Random", CHOOSE(com.sun.star.sheet.addin.Analysis.getRandbetween(1,3), 64, 128, 256), 128), "")</f>
        <v/>
      </c>
      <c r="F84" s="4" t="str">
        <f aca="false">IF(83&lt;=Settings!$C$6, IF(Settings!$C$7="Random", CHOOSE(com.sun.star.sheet.addin.Analysis.getRandbetween(1,3), 1024, 2048, 4096), 2048), "")</f>
        <v/>
      </c>
      <c r="G84" s="4" t="str">
        <f aca="false">IF(83&lt;=Settings!$C$6, 500000, "")</f>
        <v/>
      </c>
      <c r="H84" s="4" t="str">
        <f aca="false">IF(83&lt;=Settings!$C$6, IF(Settings!$C$7="Random", CHOOSE(com.sun.star.sheet.addin.Analysis.getRandbetween(1,3), 42, 101, 2024), 42), "")</f>
        <v/>
      </c>
      <c r="I84" s="2"/>
      <c r="J84" s="2"/>
      <c r="K84" s="2"/>
    </row>
    <row r="85" customFormat="false" ht="15" hidden="false" customHeight="false" outlineLevel="0" collapsed="false">
      <c r="A85" s="5"/>
      <c r="B85" s="5" t="str">
        <f aca="false">IF(84&lt;=Settings!$C$6, "PushBlock", "")</f>
        <v/>
      </c>
      <c r="C85" s="5" t="str">
        <f aca="false">IF(84&lt;=Settings!$C$6, "PPO", "")</f>
        <v/>
      </c>
      <c r="D85" s="6" t="str">
        <f aca="false">IF(84&lt;=Settings!$C$6, IF(Settings!$C$7="Random", CHOOSE(com.sun.star.sheet.addin.Analysis.getRandbetween(1,4), 0.0001, 0.0003, 0.0005, 0.001), 0.0003), "")</f>
        <v/>
      </c>
      <c r="E85" s="7" t="str">
        <f aca="false">IF(84&lt;=Settings!$C$6, IF(Settings!$C$7="Random", CHOOSE(com.sun.star.sheet.addin.Analysis.getRandbetween(1,3), 64, 128, 256), 128), "")</f>
        <v/>
      </c>
      <c r="F85" s="7" t="str">
        <f aca="false">IF(84&lt;=Settings!$C$6, IF(Settings!$C$7="Random", CHOOSE(com.sun.star.sheet.addin.Analysis.getRandbetween(1,3), 1024, 2048, 4096), 2048), "")</f>
        <v/>
      </c>
      <c r="G85" s="7" t="str">
        <f aca="false">IF(84&lt;=Settings!$C$6, 500000, "")</f>
        <v/>
      </c>
      <c r="H85" s="7" t="str">
        <f aca="false">IF(84&lt;=Settings!$C$6, IF(Settings!$C$7="Random", CHOOSE(com.sun.star.sheet.addin.Analysis.getRandbetween(1,3), 42, 101, 2024), 42), "")</f>
        <v/>
      </c>
      <c r="I85" s="5"/>
      <c r="J85" s="5"/>
      <c r="K85" s="5"/>
    </row>
    <row r="86" customFormat="false" ht="15" hidden="false" customHeight="false" outlineLevel="0" collapsed="false">
      <c r="A86" s="2"/>
      <c r="B86" s="2" t="str">
        <f aca="false">IF(85&lt;=Settings!$C$6, "PushBlock", "")</f>
        <v/>
      </c>
      <c r="C86" s="2" t="str">
        <f aca="false">IF(85&lt;=Settings!$C$6, "PPO", "")</f>
        <v/>
      </c>
      <c r="D86" s="3" t="str">
        <f aca="false">IF(85&lt;=Settings!$C$6, IF(Settings!$C$7="Random", CHOOSE(com.sun.star.sheet.addin.Analysis.getRandbetween(1,4), 0.0001, 0.0003, 0.0005, 0.001), 0.0003), "")</f>
        <v/>
      </c>
      <c r="E86" s="4" t="str">
        <f aca="false">IF(85&lt;=Settings!$C$6, IF(Settings!$C$7="Random", CHOOSE(com.sun.star.sheet.addin.Analysis.getRandbetween(1,3), 64, 128, 256), 128), "")</f>
        <v/>
      </c>
      <c r="F86" s="4" t="str">
        <f aca="false">IF(85&lt;=Settings!$C$6, IF(Settings!$C$7="Random", CHOOSE(com.sun.star.sheet.addin.Analysis.getRandbetween(1,3), 1024, 2048, 4096), 2048), "")</f>
        <v/>
      </c>
      <c r="G86" s="4" t="str">
        <f aca="false">IF(85&lt;=Settings!$C$6, 500000, "")</f>
        <v/>
      </c>
      <c r="H86" s="4" t="str">
        <f aca="false">IF(85&lt;=Settings!$C$6, IF(Settings!$C$7="Random", CHOOSE(com.sun.star.sheet.addin.Analysis.getRandbetween(1,3), 42, 101, 2024), 42), "")</f>
        <v/>
      </c>
      <c r="I86" s="2"/>
      <c r="J86" s="2"/>
      <c r="K86" s="2"/>
    </row>
    <row r="87" customFormat="false" ht="15" hidden="false" customHeight="false" outlineLevel="0" collapsed="false">
      <c r="A87" s="5"/>
      <c r="B87" s="5" t="str">
        <f aca="false">IF(86&lt;=Settings!$C$6, "PushBlock", "")</f>
        <v/>
      </c>
      <c r="C87" s="5" t="str">
        <f aca="false">IF(86&lt;=Settings!$C$6, "PPO", "")</f>
        <v/>
      </c>
      <c r="D87" s="6" t="str">
        <f aca="false">IF(86&lt;=Settings!$C$6, IF(Settings!$C$7="Random", CHOOSE(com.sun.star.sheet.addin.Analysis.getRandbetween(1,4), 0.0001, 0.0003, 0.0005, 0.001), 0.0003), "")</f>
        <v/>
      </c>
      <c r="E87" s="7" t="str">
        <f aca="false">IF(86&lt;=Settings!$C$6, IF(Settings!$C$7="Random", CHOOSE(com.sun.star.sheet.addin.Analysis.getRandbetween(1,3), 64, 128, 256), 128), "")</f>
        <v/>
      </c>
      <c r="F87" s="7" t="str">
        <f aca="false">IF(86&lt;=Settings!$C$6, IF(Settings!$C$7="Random", CHOOSE(com.sun.star.sheet.addin.Analysis.getRandbetween(1,3), 1024, 2048, 4096), 2048), "")</f>
        <v/>
      </c>
      <c r="G87" s="7" t="str">
        <f aca="false">IF(86&lt;=Settings!$C$6, 500000, "")</f>
        <v/>
      </c>
      <c r="H87" s="7" t="str">
        <f aca="false">IF(86&lt;=Settings!$C$6, IF(Settings!$C$7="Random", CHOOSE(com.sun.star.sheet.addin.Analysis.getRandbetween(1,3), 42, 101, 2024), 42), "")</f>
        <v/>
      </c>
      <c r="I87" s="5"/>
      <c r="J87" s="5"/>
      <c r="K87" s="5"/>
    </row>
    <row r="88" customFormat="false" ht="15" hidden="false" customHeight="false" outlineLevel="0" collapsed="false">
      <c r="A88" s="2"/>
      <c r="B88" s="2" t="str">
        <f aca="false">IF(87&lt;=Settings!$C$6, "PushBlock", "")</f>
        <v/>
      </c>
      <c r="C88" s="2" t="str">
        <f aca="false">IF(87&lt;=Settings!$C$6, "PPO", "")</f>
        <v/>
      </c>
      <c r="D88" s="3" t="str">
        <f aca="false">IF(87&lt;=Settings!$C$6, IF(Settings!$C$7="Random", CHOOSE(com.sun.star.sheet.addin.Analysis.getRandbetween(1,4), 0.0001, 0.0003, 0.0005, 0.001), 0.0003), "")</f>
        <v/>
      </c>
      <c r="E88" s="4" t="str">
        <f aca="false">IF(87&lt;=Settings!$C$6, IF(Settings!$C$7="Random", CHOOSE(com.sun.star.sheet.addin.Analysis.getRandbetween(1,3), 64, 128, 256), 128), "")</f>
        <v/>
      </c>
      <c r="F88" s="4" t="str">
        <f aca="false">IF(87&lt;=Settings!$C$6, IF(Settings!$C$7="Random", CHOOSE(com.sun.star.sheet.addin.Analysis.getRandbetween(1,3), 1024, 2048, 4096), 2048), "")</f>
        <v/>
      </c>
      <c r="G88" s="4" t="str">
        <f aca="false">IF(87&lt;=Settings!$C$6, 500000, "")</f>
        <v/>
      </c>
      <c r="H88" s="4" t="str">
        <f aca="false">IF(87&lt;=Settings!$C$6, IF(Settings!$C$7="Random", CHOOSE(com.sun.star.sheet.addin.Analysis.getRandbetween(1,3), 42, 101, 2024), 42), "")</f>
        <v/>
      </c>
      <c r="I88" s="2"/>
      <c r="J88" s="2"/>
      <c r="K88" s="2"/>
    </row>
    <row r="89" customFormat="false" ht="15" hidden="false" customHeight="false" outlineLevel="0" collapsed="false">
      <c r="A89" s="5"/>
      <c r="B89" s="5" t="str">
        <f aca="false">IF(88&lt;=Settings!$C$6, "PushBlock", "")</f>
        <v/>
      </c>
      <c r="C89" s="5" t="str">
        <f aca="false">IF(88&lt;=Settings!$C$6, "PPO", "")</f>
        <v/>
      </c>
      <c r="D89" s="6" t="str">
        <f aca="false">IF(88&lt;=Settings!$C$6, IF(Settings!$C$7="Random", CHOOSE(com.sun.star.sheet.addin.Analysis.getRandbetween(1,4), 0.0001, 0.0003, 0.0005, 0.001), 0.0003), "")</f>
        <v/>
      </c>
      <c r="E89" s="7" t="str">
        <f aca="false">IF(88&lt;=Settings!$C$6, IF(Settings!$C$7="Random", CHOOSE(com.sun.star.sheet.addin.Analysis.getRandbetween(1,3), 64, 128, 256), 128), "")</f>
        <v/>
      </c>
      <c r="F89" s="7" t="str">
        <f aca="false">IF(88&lt;=Settings!$C$6, IF(Settings!$C$7="Random", CHOOSE(com.sun.star.sheet.addin.Analysis.getRandbetween(1,3), 1024, 2048, 4096), 2048), "")</f>
        <v/>
      </c>
      <c r="G89" s="7" t="str">
        <f aca="false">IF(88&lt;=Settings!$C$6, 500000, "")</f>
        <v/>
      </c>
      <c r="H89" s="7" t="str">
        <f aca="false">IF(88&lt;=Settings!$C$6, IF(Settings!$C$7="Random", CHOOSE(com.sun.star.sheet.addin.Analysis.getRandbetween(1,3), 42, 101, 2024), 42), "")</f>
        <v/>
      </c>
      <c r="I89" s="5"/>
      <c r="J89" s="5"/>
      <c r="K89" s="5"/>
    </row>
    <row r="90" customFormat="false" ht="15" hidden="false" customHeight="false" outlineLevel="0" collapsed="false">
      <c r="A90" s="2"/>
      <c r="B90" s="2" t="str">
        <f aca="false">IF(89&lt;=Settings!$C$6, "PushBlock", "")</f>
        <v/>
      </c>
      <c r="C90" s="2" t="str">
        <f aca="false">IF(89&lt;=Settings!$C$6, "PPO", "")</f>
        <v/>
      </c>
      <c r="D90" s="3" t="str">
        <f aca="false">IF(89&lt;=Settings!$C$6, IF(Settings!$C$7="Random", CHOOSE(com.sun.star.sheet.addin.Analysis.getRandbetween(1,4), 0.0001, 0.0003, 0.0005, 0.001), 0.0003), "")</f>
        <v/>
      </c>
      <c r="E90" s="4" t="str">
        <f aca="false">IF(89&lt;=Settings!$C$6, IF(Settings!$C$7="Random", CHOOSE(com.sun.star.sheet.addin.Analysis.getRandbetween(1,3), 64, 128, 256), 128), "")</f>
        <v/>
      </c>
      <c r="F90" s="4" t="str">
        <f aca="false">IF(89&lt;=Settings!$C$6, IF(Settings!$C$7="Random", CHOOSE(com.sun.star.sheet.addin.Analysis.getRandbetween(1,3), 1024, 2048, 4096), 2048), "")</f>
        <v/>
      </c>
      <c r="G90" s="4" t="str">
        <f aca="false">IF(89&lt;=Settings!$C$6, 500000, "")</f>
        <v/>
      </c>
      <c r="H90" s="4" t="str">
        <f aca="false">IF(89&lt;=Settings!$C$6, IF(Settings!$C$7="Random", CHOOSE(com.sun.star.sheet.addin.Analysis.getRandbetween(1,3), 42, 101, 2024), 42), "")</f>
        <v/>
      </c>
      <c r="I90" s="2"/>
      <c r="J90" s="2"/>
      <c r="K90" s="2"/>
    </row>
    <row r="91" customFormat="false" ht="15" hidden="false" customHeight="false" outlineLevel="0" collapsed="false">
      <c r="A91" s="5"/>
      <c r="B91" s="5" t="str">
        <f aca="false">IF(90&lt;=Settings!$C$6, "PushBlock", "")</f>
        <v/>
      </c>
      <c r="C91" s="5" t="str">
        <f aca="false">IF(90&lt;=Settings!$C$6, "PPO", "")</f>
        <v/>
      </c>
      <c r="D91" s="6" t="str">
        <f aca="false">IF(90&lt;=Settings!$C$6, IF(Settings!$C$7="Random", CHOOSE(com.sun.star.sheet.addin.Analysis.getRandbetween(1,4), 0.0001, 0.0003, 0.0005, 0.001), 0.0003), "")</f>
        <v/>
      </c>
      <c r="E91" s="7" t="str">
        <f aca="false">IF(90&lt;=Settings!$C$6, IF(Settings!$C$7="Random", CHOOSE(com.sun.star.sheet.addin.Analysis.getRandbetween(1,3), 64, 128, 256), 128), "")</f>
        <v/>
      </c>
      <c r="F91" s="7" t="str">
        <f aca="false">IF(90&lt;=Settings!$C$6, IF(Settings!$C$7="Random", CHOOSE(com.sun.star.sheet.addin.Analysis.getRandbetween(1,3), 1024, 2048, 4096), 2048), "")</f>
        <v/>
      </c>
      <c r="G91" s="7" t="str">
        <f aca="false">IF(90&lt;=Settings!$C$6, 500000, "")</f>
        <v/>
      </c>
      <c r="H91" s="7" t="str">
        <f aca="false">IF(90&lt;=Settings!$C$6, IF(Settings!$C$7="Random", CHOOSE(com.sun.star.sheet.addin.Analysis.getRandbetween(1,3), 42, 101, 2024), 42), "")</f>
        <v/>
      </c>
      <c r="I91" s="5"/>
      <c r="J91" s="5"/>
      <c r="K91" s="5"/>
    </row>
    <row r="92" customFormat="false" ht="15" hidden="false" customHeight="false" outlineLevel="0" collapsed="false">
      <c r="A92" s="2"/>
      <c r="B92" s="2" t="str">
        <f aca="false">IF(91&lt;=Settings!$C$6, "PushBlock", "")</f>
        <v/>
      </c>
      <c r="C92" s="2" t="str">
        <f aca="false">IF(91&lt;=Settings!$C$6, "PPO", "")</f>
        <v/>
      </c>
      <c r="D92" s="3" t="str">
        <f aca="false">IF(91&lt;=Settings!$C$6, IF(Settings!$C$7="Random", CHOOSE(com.sun.star.sheet.addin.Analysis.getRandbetween(1,4), 0.0001, 0.0003, 0.0005, 0.001), 0.0003), "")</f>
        <v/>
      </c>
      <c r="E92" s="4" t="str">
        <f aca="false">IF(91&lt;=Settings!$C$6, IF(Settings!$C$7="Random", CHOOSE(com.sun.star.sheet.addin.Analysis.getRandbetween(1,3), 64, 128, 256), 128), "")</f>
        <v/>
      </c>
      <c r="F92" s="4" t="str">
        <f aca="false">IF(91&lt;=Settings!$C$6, IF(Settings!$C$7="Random", CHOOSE(com.sun.star.sheet.addin.Analysis.getRandbetween(1,3), 1024, 2048, 4096), 2048), "")</f>
        <v/>
      </c>
      <c r="G92" s="4" t="str">
        <f aca="false">IF(91&lt;=Settings!$C$6, 500000, "")</f>
        <v/>
      </c>
      <c r="H92" s="4" t="str">
        <f aca="false">IF(91&lt;=Settings!$C$6, IF(Settings!$C$7="Random", CHOOSE(com.sun.star.sheet.addin.Analysis.getRandbetween(1,3), 42, 101, 2024), 42), "")</f>
        <v/>
      </c>
      <c r="I92" s="2"/>
      <c r="J92" s="2"/>
      <c r="K92" s="2"/>
    </row>
    <row r="93" customFormat="false" ht="15" hidden="false" customHeight="false" outlineLevel="0" collapsed="false">
      <c r="A93" s="5"/>
      <c r="B93" s="5" t="str">
        <f aca="false">IF(92&lt;=Settings!$C$6, "PushBlock", "")</f>
        <v/>
      </c>
      <c r="C93" s="5" t="str">
        <f aca="false">IF(92&lt;=Settings!$C$6, "PPO", "")</f>
        <v/>
      </c>
      <c r="D93" s="6" t="str">
        <f aca="false">IF(92&lt;=Settings!$C$6, IF(Settings!$C$7="Random", CHOOSE(com.sun.star.sheet.addin.Analysis.getRandbetween(1,4), 0.0001, 0.0003, 0.0005, 0.001), 0.0003), "")</f>
        <v/>
      </c>
      <c r="E93" s="7" t="str">
        <f aca="false">IF(92&lt;=Settings!$C$6, IF(Settings!$C$7="Random", CHOOSE(com.sun.star.sheet.addin.Analysis.getRandbetween(1,3), 64, 128, 256), 128), "")</f>
        <v/>
      </c>
      <c r="F93" s="7" t="str">
        <f aca="false">IF(92&lt;=Settings!$C$6, IF(Settings!$C$7="Random", CHOOSE(com.sun.star.sheet.addin.Analysis.getRandbetween(1,3), 1024, 2048, 4096), 2048), "")</f>
        <v/>
      </c>
      <c r="G93" s="7" t="str">
        <f aca="false">IF(92&lt;=Settings!$C$6, 500000, "")</f>
        <v/>
      </c>
      <c r="H93" s="7" t="str">
        <f aca="false">IF(92&lt;=Settings!$C$6, IF(Settings!$C$7="Random", CHOOSE(com.sun.star.sheet.addin.Analysis.getRandbetween(1,3), 42, 101, 2024), 42), "")</f>
        <v/>
      </c>
      <c r="I93" s="5"/>
      <c r="J93" s="5"/>
      <c r="K93" s="5"/>
    </row>
    <row r="94" customFormat="false" ht="15" hidden="false" customHeight="false" outlineLevel="0" collapsed="false">
      <c r="A94" s="2"/>
      <c r="B94" s="2" t="str">
        <f aca="false">IF(93&lt;=Settings!$C$6, "PushBlock", "")</f>
        <v/>
      </c>
      <c r="C94" s="2" t="str">
        <f aca="false">IF(93&lt;=Settings!$C$6, "PPO", "")</f>
        <v/>
      </c>
      <c r="D94" s="3" t="str">
        <f aca="false">IF(93&lt;=Settings!$C$6, IF(Settings!$C$7="Random", CHOOSE(com.sun.star.sheet.addin.Analysis.getRandbetween(1,4), 0.0001, 0.0003, 0.0005, 0.001), 0.0003), "")</f>
        <v/>
      </c>
      <c r="E94" s="4" t="str">
        <f aca="false">IF(93&lt;=Settings!$C$6, IF(Settings!$C$7="Random", CHOOSE(com.sun.star.sheet.addin.Analysis.getRandbetween(1,3), 64, 128, 256), 128), "")</f>
        <v/>
      </c>
      <c r="F94" s="4" t="str">
        <f aca="false">IF(93&lt;=Settings!$C$6, IF(Settings!$C$7="Random", CHOOSE(com.sun.star.sheet.addin.Analysis.getRandbetween(1,3), 1024, 2048, 4096), 2048), "")</f>
        <v/>
      </c>
      <c r="G94" s="4" t="str">
        <f aca="false">IF(93&lt;=Settings!$C$6, 500000, "")</f>
        <v/>
      </c>
      <c r="H94" s="4" t="str">
        <f aca="false">IF(93&lt;=Settings!$C$6, IF(Settings!$C$7="Random", CHOOSE(com.sun.star.sheet.addin.Analysis.getRandbetween(1,3), 42, 101, 2024), 42), "")</f>
        <v/>
      </c>
      <c r="I94" s="2"/>
      <c r="J94" s="2"/>
      <c r="K94" s="2"/>
    </row>
    <row r="95" customFormat="false" ht="15" hidden="false" customHeight="false" outlineLevel="0" collapsed="false">
      <c r="A95" s="5"/>
      <c r="B95" s="5" t="str">
        <f aca="false">IF(94&lt;=Settings!$C$6, "PushBlock", "")</f>
        <v/>
      </c>
      <c r="C95" s="5" t="str">
        <f aca="false">IF(94&lt;=Settings!$C$6, "PPO", "")</f>
        <v/>
      </c>
      <c r="D95" s="6" t="str">
        <f aca="false">IF(94&lt;=Settings!$C$6, IF(Settings!$C$7="Random", CHOOSE(com.sun.star.sheet.addin.Analysis.getRandbetween(1,4), 0.0001, 0.0003, 0.0005, 0.001), 0.0003), "")</f>
        <v/>
      </c>
      <c r="E95" s="7" t="str">
        <f aca="false">IF(94&lt;=Settings!$C$6, IF(Settings!$C$7="Random", CHOOSE(com.sun.star.sheet.addin.Analysis.getRandbetween(1,3), 64, 128, 256), 128), "")</f>
        <v/>
      </c>
      <c r="F95" s="7" t="str">
        <f aca="false">IF(94&lt;=Settings!$C$6, IF(Settings!$C$7="Random", CHOOSE(com.sun.star.sheet.addin.Analysis.getRandbetween(1,3), 1024, 2048, 4096), 2048), "")</f>
        <v/>
      </c>
      <c r="G95" s="7" t="str">
        <f aca="false">IF(94&lt;=Settings!$C$6, 500000, "")</f>
        <v/>
      </c>
      <c r="H95" s="7" t="str">
        <f aca="false">IF(94&lt;=Settings!$C$6, IF(Settings!$C$7="Random", CHOOSE(com.sun.star.sheet.addin.Analysis.getRandbetween(1,3), 42, 101, 2024), 42), "")</f>
        <v/>
      </c>
      <c r="I95" s="5"/>
      <c r="J95" s="5"/>
      <c r="K95" s="5"/>
    </row>
    <row r="96" customFormat="false" ht="15" hidden="false" customHeight="false" outlineLevel="0" collapsed="false">
      <c r="A96" s="2"/>
      <c r="B96" s="2" t="str">
        <f aca="false">IF(95&lt;=Settings!$C$6, "PushBlock", "")</f>
        <v/>
      </c>
      <c r="C96" s="2" t="str">
        <f aca="false">IF(95&lt;=Settings!$C$6, "PPO", "")</f>
        <v/>
      </c>
      <c r="D96" s="3" t="str">
        <f aca="false">IF(95&lt;=Settings!$C$6, IF(Settings!$C$7="Random", CHOOSE(com.sun.star.sheet.addin.Analysis.getRandbetween(1,4), 0.0001, 0.0003, 0.0005, 0.001), 0.0003), "")</f>
        <v/>
      </c>
      <c r="E96" s="4" t="str">
        <f aca="false">IF(95&lt;=Settings!$C$6, IF(Settings!$C$7="Random", CHOOSE(com.sun.star.sheet.addin.Analysis.getRandbetween(1,3), 64, 128, 256), 128), "")</f>
        <v/>
      </c>
      <c r="F96" s="4" t="str">
        <f aca="false">IF(95&lt;=Settings!$C$6, IF(Settings!$C$7="Random", CHOOSE(com.sun.star.sheet.addin.Analysis.getRandbetween(1,3), 1024, 2048, 4096), 2048), "")</f>
        <v/>
      </c>
      <c r="G96" s="4" t="str">
        <f aca="false">IF(95&lt;=Settings!$C$6, 500000, "")</f>
        <v/>
      </c>
      <c r="H96" s="4" t="str">
        <f aca="false">IF(95&lt;=Settings!$C$6, IF(Settings!$C$7="Random", CHOOSE(com.sun.star.sheet.addin.Analysis.getRandbetween(1,3), 42, 101, 2024), 42), "")</f>
        <v/>
      </c>
      <c r="I96" s="2"/>
      <c r="J96" s="2"/>
      <c r="K96" s="2"/>
    </row>
    <row r="97" customFormat="false" ht="15" hidden="false" customHeight="false" outlineLevel="0" collapsed="false">
      <c r="A97" s="5"/>
      <c r="B97" s="5" t="str">
        <f aca="false">IF(96&lt;=Settings!$C$6, "PushBlock", "")</f>
        <v/>
      </c>
      <c r="C97" s="5" t="str">
        <f aca="false">IF(96&lt;=Settings!$C$6, "PPO", "")</f>
        <v/>
      </c>
      <c r="D97" s="6" t="str">
        <f aca="false">IF(96&lt;=Settings!$C$6, IF(Settings!$C$7="Random", CHOOSE(com.sun.star.sheet.addin.Analysis.getRandbetween(1,4), 0.0001, 0.0003, 0.0005, 0.001), 0.0003), "")</f>
        <v/>
      </c>
      <c r="E97" s="7" t="str">
        <f aca="false">IF(96&lt;=Settings!$C$6, IF(Settings!$C$7="Random", CHOOSE(com.sun.star.sheet.addin.Analysis.getRandbetween(1,3), 64, 128, 256), 128), "")</f>
        <v/>
      </c>
      <c r="F97" s="7" t="str">
        <f aca="false">IF(96&lt;=Settings!$C$6, IF(Settings!$C$7="Random", CHOOSE(com.sun.star.sheet.addin.Analysis.getRandbetween(1,3), 1024, 2048, 4096), 2048), "")</f>
        <v/>
      </c>
      <c r="G97" s="7" t="str">
        <f aca="false">IF(96&lt;=Settings!$C$6, 500000, "")</f>
        <v/>
      </c>
      <c r="H97" s="7" t="str">
        <f aca="false">IF(96&lt;=Settings!$C$6, IF(Settings!$C$7="Random", CHOOSE(com.sun.star.sheet.addin.Analysis.getRandbetween(1,3), 42, 101, 2024), 42), "")</f>
        <v/>
      </c>
      <c r="I97" s="5"/>
      <c r="J97" s="5"/>
      <c r="K97" s="5"/>
    </row>
    <row r="98" customFormat="false" ht="15" hidden="false" customHeight="false" outlineLevel="0" collapsed="false">
      <c r="A98" s="2"/>
      <c r="B98" s="2" t="str">
        <f aca="false">IF(97&lt;=Settings!$C$6, "PushBlock", "")</f>
        <v/>
      </c>
      <c r="C98" s="2" t="str">
        <f aca="false">IF(97&lt;=Settings!$C$6, "PPO", "")</f>
        <v/>
      </c>
      <c r="D98" s="3" t="str">
        <f aca="false">IF(97&lt;=Settings!$C$6, IF(Settings!$C$7="Random", CHOOSE(com.sun.star.sheet.addin.Analysis.getRandbetween(1,4), 0.0001, 0.0003, 0.0005, 0.001), 0.0003), "")</f>
        <v/>
      </c>
      <c r="E98" s="4" t="str">
        <f aca="false">IF(97&lt;=Settings!$C$6, IF(Settings!$C$7="Random", CHOOSE(com.sun.star.sheet.addin.Analysis.getRandbetween(1,3), 64, 128, 256), 128), "")</f>
        <v/>
      </c>
      <c r="F98" s="4" t="str">
        <f aca="false">IF(97&lt;=Settings!$C$6, IF(Settings!$C$7="Random", CHOOSE(com.sun.star.sheet.addin.Analysis.getRandbetween(1,3), 1024, 2048, 4096), 2048), "")</f>
        <v/>
      </c>
      <c r="G98" s="4" t="str">
        <f aca="false">IF(97&lt;=Settings!$C$6, 500000, "")</f>
        <v/>
      </c>
      <c r="H98" s="4" t="str">
        <f aca="false">IF(97&lt;=Settings!$C$6, IF(Settings!$C$7="Random", CHOOSE(com.sun.star.sheet.addin.Analysis.getRandbetween(1,3), 42, 101, 2024), 42), "")</f>
        <v/>
      </c>
      <c r="I98" s="2"/>
      <c r="J98" s="2"/>
      <c r="K98" s="2"/>
    </row>
    <row r="99" customFormat="false" ht="15" hidden="false" customHeight="false" outlineLevel="0" collapsed="false">
      <c r="A99" s="5"/>
      <c r="B99" s="5" t="str">
        <f aca="false">IF(98&lt;=Settings!$C$6, "PushBlock", "")</f>
        <v/>
      </c>
      <c r="C99" s="5" t="str">
        <f aca="false">IF(98&lt;=Settings!$C$6, "PPO", "")</f>
        <v/>
      </c>
      <c r="D99" s="6" t="str">
        <f aca="false">IF(98&lt;=Settings!$C$6, IF(Settings!$C$7="Random", CHOOSE(com.sun.star.sheet.addin.Analysis.getRandbetween(1,4), 0.0001, 0.0003, 0.0005, 0.001), 0.0003), "")</f>
        <v/>
      </c>
      <c r="E99" s="7" t="str">
        <f aca="false">IF(98&lt;=Settings!$C$6, IF(Settings!$C$7="Random", CHOOSE(com.sun.star.sheet.addin.Analysis.getRandbetween(1,3), 64, 128, 256), 128), "")</f>
        <v/>
      </c>
      <c r="F99" s="7" t="str">
        <f aca="false">IF(98&lt;=Settings!$C$6, IF(Settings!$C$7="Random", CHOOSE(com.sun.star.sheet.addin.Analysis.getRandbetween(1,3), 1024, 2048, 4096), 2048), "")</f>
        <v/>
      </c>
      <c r="G99" s="7" t="str">
        <f aca="false">IF(98&lt;=Settings!$C$6, 500000, "")</f>
        <v/>
      </c>
      <c r="H99" s="7" t="str">
        <f aca="false">IF(98&lt;=Settings!$C$6, IF(Settings!$C$7="Random", CHOOSE(com.sun.star.sheet.addin.Analysis.getRandbetween(1,3), 42, 101, 2024), 42), "")</f>
        <v/>
      </c>
      <c r="I99" s="5"/>
      <c r="J99" s="5"/>
      <c r="K99" s="5"/>
    </row>
    <row r="100" customFormat="false" ht="15" hidden="false" customHeight="false" outlineLevel="0" collapsed="false">
      <c r="A100" s="2"/>
      <c r="B100" s="2" t="str">
        <f aca="false">IF(99&lt;=Settings!$C$6, "PushBlock", "")</f>
        <v/>
      </c>
      <c r="C100" s="2" t="str">
        <f aca="false">IF(99&lt;=Settings!$C$6, "PPO", "")</f>
        <v/>
      </c>
      <c r="D100" s="3" t="str">
        <f aca="false">IF(99&lt;=Settings!$C$6, IF(Settings!$C$7="Random", CHOOSE(com.sun.star.sheet.addin.Analysis.getRandbetween(1,4), 0.0001, 0.0003, 0.0005, 0.001), 0.0003), "")</f>
        <v/>
      </c>
      <c r="E100" s="4" t="str">
        <f aca="false">IF(99&lt;=Settings!$C$6, IF(Settings!$C$7="Random", CHOOSE(com.sun.star.sheet.addin.Analysis.getRandbetween(1,3), 64, 128, 256), 128), "")</f>
        <v/>
      </c>
      <c r="F100" s="4" t="str">
        <f aca="false">IF(99&lt;=Settings!$C$6, IF(Settings!$C$7="Random", CHOOSE(com.sun.star.sheet.addin.Analysis.getRandbetween(1,3), 1024, 2048, 4096), 2048), "")</f>
        <v/>
      </c>
      <c r="G100" s="4" t="str">
        <f aca="false">IF(99&lt;=Settings!$C$6, 500000, "")</f>
        <v/>
      </c>
      <c r="H100" s="4" t="str">
        <f aca="false">IF(99&lt;=Settings!$C$6, IF(Settings!$C$7="Random", CHOOSE(com.sun.star.sheet.addin.Analysis.getRandbetween(1,3), 42, 101, 2024), 42), "")</f>
        <v/>
      </c>
      <c r="I100" s="2"/>
      <c r="J100" s="2"/>
      <c r="K100" s="2"/>
    </row>
    <row r="101" customFormat="false" ht="15" hidden="false" customHeight="false" outlineLevel="0" collapsed="false">
      <c r="A101" s="5"/>
      <c r="B101" s="5" t="str">
        <f aca="false">IF(100&lt;=Settings!$C$6, "PushBlock", "")</f>
        <v/>
      </c>
      <c r="C101" s="5" t="str">
        <f aca="false">IF(100&lt;=Settings!$C$6, "PPO", "")</f>
        <v/>
      </c>
      <c r="D101" s="6" t="str">
        <f aca="false">IF(100&lt;=Settings!$C$6, IF(Settings!$C$7="Random", CHOOSE(com.sun.star.sheet.addin.Analysis.getRandbetween(1,4), 0.0001, 0.0003, 0.0005, 0.001), 0.0003), "")</f>
        <v/>
      </c>
      <c r="E101" s="7" t="str">
        <f aca="false">IF(100&lt;=Settings!$C$6, IF(Settings!$C$7="Random", CHOOSE(com.sun.star.sheet.addin.Analysis.getRandbetween(1,3), 64, 128, 256), 128), "")</f>
        <v/>
      </c>
      <c r="F101" s="7" t="str">
        <f aca="false">IF(100&lt;=Settings!$C$6, IF(Settings!$C$7="Random", CHOOSE(com.sun.star.sheet.addin.Analysis.getRandbetween(1,3), 1024, 2048, 4096), 2048), "")</f>
        <v/>
      </c>
      <c r="G101" s="7" t="str">
        <f aca="false">IF(100&lt;=Settings!$C$6, 500000, "")</f>
        <v/>
      </c>
      <c r="H101" s="7" t="str">
        <f aca="false">IF(100&lt;=Settings!$C$6, IF(Settings!$C$7="Random", CHOOSE(com.sun.star.sheet.addin.Analysis.getRandbetween(1,3), 42, 101, 2024), 42), "")</f>
        <v/>
      </c>
      <c r="I101" s="5"/>
      <c r="J101" s="5"/>
      <c r="K101" s="5"/>
    </row>
  </sheetData>
  <dataValidations count="9">
    <dataValidation allowBlank="true" error="The run_id column must remain strictly EMPTY. The ID is dynamically generated by the script at runtime." errorStyle="stop" errorTitle="Locked Field" operator="equal" showDropDown="false" showErrorMessage="true" showInputMessage="false" sqref="A2:A101" type="textLength">
      <formula1>0</formula1>
      <formula2>0</formula2>
    </dataValidation>
    <dataValidation allowBlank="true" error="The only permitted environment_name is 'PushBlock'." errorStyle="stop" errorTitle="Immutable Field" operator="between" showDropDown="false" showErrorMessage="true" showInputMessage="false" sqref="B2:B101" type="list">
      <formula1>"PushBlock"</formula1>
      <formula2>0</formula2>
    </dataValidation>
    <dataValidation allowBlank="true" error="The only permitted algorithm is 'PPO'." errorStyle="stop" errorTitle="Immutable Field" operator="between" showDropDown="false" showErrorMessage="true" showInputMessage="false" sqref="C2:C101" type="list">
      <formula1>"PPO"</formula1>
      <formula2>0</formula2>
    </dataValidation>
    <dataValidation allowBlank="true" error="learning_rate must be a decimal between 0.0001 and 0.001." errorStyle="stop" errorTitle="Value Out of Bounds" operator="between" showDropDown="false" showErrorMessage="true" showInputMessage="false" sqref="D2:D101" type="decimal">
      <formula1>0.0001</formula1>
      <formula2>0.001</formula2>
    </dataValidation>
    <dataValidation allowBlank="true" error="Invalid batch_size! Permitted values: 64, 128, 256." errorStyle="stop" errorTitle="Invalid Selection" operator="between" showDropDown="false" showErrorMessage="true" showInputMessage="false" sqref="E2:E101" type="list">
      <formula1>"64,128,256"</formula1>
      <formula2>0</formula2>
    </dataValidation>
    <dataValidation allowBlank="true" error="Invalid buffer_size! Permitted values: 1024, 2048, 4096." errorStyle="stop" errorTitle="Invalid Selection" operator="between" showDropDown="false" showErrorMessage="true" showInputMessage="false" sqref="F2:F101" type="list">
      <formula1>"1024,2048,4096"</formula1>
      <formula2>0</formula2>
    </dataValidation>
    <dataValidation allowBlank="true" error="max_steps must remain strictly set to 500000." errorStyle="stop" errorTitle="Immutable Field" operator="between" showDropDown="false" showErrorMessage="true" showInputMessage="false" sqref="G2:G101" type="list">
      <formula1>"500000"</formula1>
      <formula2>0</formula2>
    </dataValidation>
    <dataValidation allowBlank="true" error="random_seed not allowed! Please select from: 42, 101, 2024." errorStyle="stop" errorTitle="Invalid Seed" operator="between" showDropDown="false" showErrorMessage="true" showInputMessage="false" sqref="H2:H101" type="list">
      <formula1>"42,101,2024"</formula1>
      <formula2>0</formula2>
    </dataValidation>
    <dataValidation allowBlank="true" error="This cell must remain strictly EMPTY. Hardware specifications will be automatically detected and populated by the script at runtime." errorStyle="stop" errorTitle="Auto-detected Hardware" operator="equal" showDropDown="false" showErrorMessage="true" showInputMessage="false" sqref="I2:K101" type="textLength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4.61"/>
    <col collapsed="false" customWidth="true" hidden="false" outlineLevel="0" max="2" min="2" style="0" width="27.99"/>
    <col collapsed="false" customWidth="true" hidden="false" outlineLevel="0" max="3" min="3" style="0" width="18"/>
    <col collapsed="false" customWidth="true" hidden="false" outlineLevel="0" max="6" min="4" style="0" width="15"/>
    <col collapsed="false" customWidth="true" hidden="false" outlineLevel="0" max="7" min="7" style="0" width="25"/>
  </cols>
  <sheetData>
    <row r="2" customFormat="false" ht="15" hidden="false" customHeight="false" outlineLevel="0" collapsed="false">
      <c r="B2" s="8" t="s">
        <v>11</v>
      </c>
    </row>
    <row r="3" customFormat="false" ht="15" hidden="false" customHeight="false" outlineLevel="0" collapsed="false">
      <c r="B3" s="9" t="s">
        <v>12</v>
      </c>
    </row>
    <row r="5" customFormat="false" ht="15" hidden="false" customHeight="false" outlineLevel="0" collapsed="false">
      <c r="B5" s="10" t="s">
        <v>13</v>
      </c>
      <c r="C5" s="10"/>
      <c r="D5" s="10"/>
      <c r="E5" s="10"/>
    </row>
    <row r="6" customFormat="false" ht="15" hidden="false" customHeight="false" outlineLevel="0" collapsed="false">
      <c r="B6" s="11" t="s">
        <v>14</v>
      </c>
      <c r="C6" s="12" t="n">
        <v>20</v>
      </c>
      <c r="D6" s="13" t="s">
        <v>15</v>
      </c>
      <c r="E6" s="13"/>
      <c r="F6" s="13"/>
      <c r="G6" s="13"/>
    </row>
    <row r="7" customFormat="false" ht="15" hidden="false" customHeight="false" outlineLevel="0" collapsed="false">
      <c r="B7" s="11" t="s">
        <v>16</v>
      </c>
      <c r="C7" s="14" t="s">
        <v>17</v>
      </c>
      <c r="D7" s="13" t="s">
        <v>18</v>
      </c>
      <c r="E7" s="13"/>
      <c r="F7" s="13"/>
      <c r="G7" s="13"/>
    </row>
  </sheetData>
  <mergeCells count="3">
    <mergeCell ref="B5:E5"/>
    <mergeCell ref="D6:G6"/>
    <mergeCell ref="D7:G7"/>
  </mergeCells>
  <dataValidations count="2">
    <dataValidation allowBlank="false" error="Number of runs must be an integer between 1 and 100." errorStyle="stop" errorTitle="Invalid Value" operator="between" showDropDown="false" showErrorMessage="true" showInputMessage="false" sqref="C6" type="whole">
      <formula1>1</formula1>
      <formula2>100</formula2>
    </dataValidation>
    <dataValidation allowBlank="false" error="Please select exclusively 'Random' or 'Manual'." errorStyle="stop" errorTitle="Invalid Mode" operator="between" showDropDown="false" showErrorMessage="true" showInputMessage="false" sqref="C7" type="list">
      <formula1>"Random,Manual"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964.15" hidden="false" customHeight="false" outlineLevel="0" collapsed="false">
      <c r="A1" s="15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2026-10-29T00:09:56Z</dcterms:created>
  <dc:creator>openpyxl</dc:creator>
  <dc:description/>
  <dc:language>en-US</dc:language>
  <cp:lastModifiedBy/>
  <dcterms:modified xsi:type="dcterms:W3CDTF">2026-10-29T01:16:31Z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